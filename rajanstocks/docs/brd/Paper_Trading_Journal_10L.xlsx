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rade Journal" sheetId="3" state="visible" r:id="rId3"/>
    <sheet xmlns:r="http://schemas.openxmlformats.org/officeDocument/2006/relationships" name="TSL Lab" sheetId="4" state="visible" r:id="rId4"/>
    <sheet xmlns:r="http://schemas.openxmlformats.org/officeDocument/2006/relationships" name="Read Me" sheetId="5" state="visible" r:id="rId5"/>
  </sheets>
  <definedNames>
    <definedName name="_xlnm._FilterDatabase" localSheetId="2" hidden="1">'Trade Journal'!$A$2:$AL$502</definedName>
    <definedName name="_xlnm._FilterDatabase" localSheetId="3" hidden="1">'TSL Lab'!$A$2:$T$302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₹#,##0"/>
    <numFmt numFmtId="165" formatCode="₹#,##0.00;[Red]-₹#,##0.00"/>
    <numFmt numFmtId="166" formatCode="₹#,##0.00"/>
    <numFmt numFmtId="167" formatCode="0.0%"/>
    <numFmt numFmtId="168" formatCode="&quot;₹&quot;#,##0"/>
    <numFmt numFmtId="169" formatCode="dd-mmm-yyyy"/>
    <numFmt numFmtId="170" formatCode="hh:mm"/>
    <numFmt numFmtId="171" formatCode="&quot;₹&quot;#,##0.00;[Red]-&quot;₹&quot;#,##0.00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FFFFFF"/>
    </font>
    <font>
      <b val="1"/>
      <color rgb="000070C0"/>
    </font>
    <font>
      <b val="1"/>
      <color rgb="009C0006"/>
      <sz val="11"/>
    </font>
    <font>
      <b val="1"/>
      <color rgb="00142D4E"/>
      <sz val="16"/>
    </font>
    <font>
      <b val="1"/>
      <color rgb="0000A6A6"/>
      <sz val="12"/>
    </font>
    <font>
      <b val="1"/>
      <color rgb="00142D4E"/>
    </font>
  </fonts>
  <fills count="9">
    <fill>
      <patternFill/>
    </fill>
    <fill>
      <patternFill patternType="gray125"/>
    </fill>
    <fill>
      <patternFill patternType="solid">
        <fgColor rgb="00142D4E"/>
      </patternFill>
    </fill>
    <fill>
      <patternFill patternType="solid">
        <fgColor rgb="00FFF2CC"/>
      </patternFill>
    </fill>
    <fill>
      <patternFill patternType="solid">
        <fgColor rgb="00F1F7FA"/>
      </patternFill>
    </fill>
    <fill>
      <patternFill patternType="solid">
        <fgColor rgb="00FAFCFE"/>
      </patternFill>
    </fill>
    <fill>
      <patternFill patternType="solid">
        <fgColor rgb="00FCE4D6"/>
      </patternFill>
    </fill>
    <fill>
      <patternFill patternType="solid">
        <fgColor rgb="0000A6A6"/>
      </patternFill>
    </fill>
    <fill>
      <patternFill patternType="solid">
        <fgColor rgb="00D9F3F0"/>
      </patternFill>
    </fill>
  </fills>
  <borders count="3">
    <border>
      <left/>
      <right/>
      <top/>
      <bottom/>
      <diagonal/>
    </border>
    <border>
      <bottom style="thin">
        <color rgb="00D5DCE5"/>
      </bottom>
    </border>
    <border>
      <bottom style="hair">
        <color rgb="00E6EBF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 wrapText="1"/>
    </xf>
    <xf numFmtId="164" fontId="5" fillId="8" borderId="0" applyAlignment="1" pivotButton="0" quotePrefix="0" xfId="0">
      <alignment vertical="center"/>
    </xf>
    <xf numFmtId="1" fontId="5" fillId="8" borderId="0" applyAlignment="1" pivotButton="0" quotePrefix="0" xfId="0">
      <alignment vertical="center"/>
    </xf>
    <xf numFmtId="165" fontId="5" fillId="8" borderId="0" applyAlignment="1" pivotButton="0" quotePrefix="0" xfId="0">
      <alignment vertical="center"/>
    </xf>
    <xf numFmtId="166" fontId="5" fillId="8" borderId="0" applyAlignment="1" pivotButton="0" quotePrefix="0" xfId="0">
      <alignment vertical="center"/>
    </xf>
    <xf numFmtId="167" fontId="5" fillId="8" borderId="0" applyAlignment="1" pivotButton="0" quotePrefix="0" xfId="0">
      <alignment vertical="center"/>
    </xf>
    <xf numFmtId="2" fontId="5" fillId="8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8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" fontId="3" fillId="3" borderId="0" applyAlignment="1" pivotButton="0" quotePrefix="0" xfId="0">
      <alignment vertical="center"/>
    </xf>
    <xf numFmtId="10" fontId="3" fillId="3" borderId="0" applyAlignment="1" pivotButton="0" quotePrefix="0" xfId="0">
      <alignment vertical="center"/>
    </xf>
    <xf numFmtId="2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9" fontId="0" fillId="0" borderId="2" pivotButton="0" quotePrefix="0" xfId="0"/>
    <xf numFmtId="170" fontId="0" fillId="0" borderId="2" pivotButton="0" quotePrefix="0" xfId="0"/>
    <xf numFmtId="0" fontId="0" fillId="0" borderId="2" pivotButton="0" quotePrefix="0" xfId="0"/>
    <xf numFmtId="171" fontId="0" fillId="0" borderId="2" pivotButton="0" quotePrefix="0" xfId="0"/>
    <xf numFmtId="171" fontId="0" fillId="4" borderId="2" applyAlignment="1" pivotButton="0" quotePrefix="0" xfId="0">
      <alignment vertical="center"/>
    </xf>
    <xf numFmtId="2" fontId="0" fillId="4" borderId="2" applyAlignment="1" pivotButton="0" quotePrefix="0" xfId="0">
      <alignment vertical="center"/>
    </xf>
    <xf numFmtId="169" fontId="0" fillId="5" borderId="2" pivotButton="0" quotePrefix="0" xfId="0"/>
    <xf numFmtId="170" fontId="0" fillId="5" borderId="2" pivotButton="0" quotePrefix="0" xfId="0"/>
    <xf numFmtId="0" fontId="0" fillId="5" borderId="2" pivotButton="0" quotePrefix="0" xfId="0"/>
    <xf numFmtId="171" fontId="0" fillId="5" borderId="2" pivotButton="0" quotePrefix="0" xfId="0"/>
    <xf numFmtId="0" fontId="0" fillId="0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5" fillId="8" borderId="0" applyAlignment="1" pivotButton="0" quotePrefix="0" xfId="0">
      <alignment vertical="center"/>
    </xf>
    <xf numFmtId="165" fontId="5" fillId="8" borderId="0" applyAlignment="1" pivotButton="0" quotePrefix="0" xfId="0">
      <alignment vertical="center"/>
    </xf>
    <xf numFmtId="166" fontId="5" fillId="8" borderId="0" applyAlignment="1" pivotButton="0" quotePrefix="0" xfId="0">
      <alignment vertical="center"/>
    </xf>
    <xf numFmtId="167" fontId="5" fillId="8" borderId="0" applyAlignment="1" pivotButton="0" quotePrefix="0" xfId="0">
      <alignment vertical="center"/>
    </xf>
    <xf numFmtId="168" fontId="3" fillId="3" borderId="0" applyAlignment="1" pivotButton="0" quotePrefix="0" xfId="0">
      <alignment vertical="center"/>
    </xf>
    <xf numFmtId="169" fontId="0" fillId="0" borderId="2" pivotButton="0" quotePrefix="0" xfId="0"/>
    <xf numFmtId="170" fontId="0" fillId="0" borderId="2" pivotButton="0" quotePrefix="0" xfId="0"/>
    <xf numFmtId="171" fontId="0" fillId="0" borderId="2" pivotButton="0" quotePrefix="0" xfId="0"/>
    <xf numFmtId="171" fontId="0" fillId="4" borderId="2" applyAlignment="1" pivotButton="0" quotePrefix="0" xfId="0">
      <alignment vertical="center"/>
    </xf>
    <xf numFmtId="169" fontId="0" fillId="5" borderId="2" pivotButton="0" quotePrefix="0" xfId="0"/>
    <xf numFmtId="170" fontId="0" fillId="5" borderId="2" pivotButton="0" quotePrefix="0" xfId="0"/>
    <xf numFmtId="171" fontId="0" fillId="5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PAPER TRADING • STRATEGY PERFORMANCE</t>
        </is>
      </c>
    </row>
    <row r="2" ht="28" customHeight="1">
      <c r="A2" s="2" t="inlineStr">
        <is>
          <t>SIMULATED RESULTS ONLY — no broker connection, live orders, or return guarantees.</t>
        </is>
      </c>
    </row>
    <row r="4">
      <c r="A4" s="3" t="inlineStr">
        <is>
          <t>Starting Capital</t>
        </is>
      </c>
      <c r="C4" s="3" t="inlineStr">
        <is>
          <t>Closed Trades</t>
        </is>
      </c>
      <c r="E4" s="3" t="inlineStr">
        <is>
          <t>Net P&amp;L</t>
        </is>
      </c>
      <c r="G4" s="3" t="inlineStr">
        <is>
          <t>Virtual Equity</t>
        </is>
      </c>
    </row>
    <row r="5">
      <c r="A5" s="34">
        <f>Settings!B3</f>
        <v/>
      </c>
      <c r="C5" s="5">
        <f>COUNT('Trade Journal'!AG3:AG502)</f>
        <v/>
      </c>
      <c r="E5" s="35">
        <f>SUM('Trade Journal'!AG3:AG502)</f>
        <v/>
      </c>
      <c r="G5" s="36">
        <f>A5+E5</f>
        <v/>
      </c>
    </row>
    <row r="7">
      <c r="A7" s="3" t="inlineStr">
        <is>
          <t>Win Rate</t>
        </is>
      </c>
      <c r="C7" s="3" t="inlineStr">
        <is>
          <t>Average R</t>
        </is>
      </c>
      <c r="E7" s="3" t="inlineStr">
        <is>
          <t>Profit Factor</t>
        </is>
      </c>
      <c r="G7" s="3" t="inlineStr">
        <is>
          <t>Trades Today</t>
        </is>
      </c>
    </row>
    <row r="8">
      <c r="A8" s="37">
        <f>IFERROR(COUNTIF('Trade Journal'!AG3:AG502,"&gt;0")/COUNT('Trade Journal'!AG3:AG502),0)</f>
        <v/>
      </c>
      <c r="C8" s="9">
        <f>IFERROR(AVERAGE('Trade Journal'!AH3:AH502),0)</f>
        <v/>
      </c>
      <c r="E8" s="9">
        <f>IFERROR(SUMIF('Trade Journal'!AG3:AG502,"&gt;0",'Trade Journal'!AG3:AG502)/ABS(SUMIF('Trade Journal'!AG3:AG502,"&lt;0",'Trade Journal'!AG3:AG502)),0)</f>
        <v/>
      </c>
      <c r="G8" s="5">
        <f>COUNTIFS('Trade Journal'!B3:B502,TODAY(),'Trade Journal'!L3:L502,"&gt;0")</f>
        <v/>
      </c>
    </row>
    <row r="10">
      <c r="A10" s="3" t="inlineStr">
        <is>
          <t>Daily Trade Limit</t>
        </is>
      </c>
      <c r="C10" s="3" t="inlineStr">
        <is>
          <t>Risk Budget / Trade</t>
        </is>
      </c>
      <c r="E10" s="3" t="inlineStr">
        <is>
          <t>T1 tagged</t>
        </is>
      </c>
      <c r="G10" s="3" t="inlineStr">
        <is>
          <t>T2 tagged</t>
        </is>
      </c>
    </row>
    <row r="11">
      <c r="A11" s="5">
        <f>Settings!B4</f>
        <v/>
      </c>
      <c r="C11" s="36">
        <f>Settings!B3*Settings!B5</f>
        <v/>
      </c>
      <c r="E11" s="5">
        <f>COUNTIF('Trade Journal'!AB3:AB502,"*T1*")</f>
        <v/>
      </c>
      <c r="G11" s="5">
        <f>COUNTIF('Trade Journal'!AB3:AB502,"*T2*")</f>
        <v/>
      </c>
    </row>
    <row r="13">
      <c r="A13" s="3" t="inlineStr">
        <is>
          <t>T3 tagged</t>
        </is>
      </c>
      <c r="C13" s="3" t="inlineStr">
        <is>
          <t>TSL exits</t>
        </is>
      </c>
      <c r="E13" s="3" t="inlineStr">
        <is>
          <t>SL exits</t>
        </is>
      </c>
    </row>
    <row r="14">
      <c r="A14" s="5">
        <f>COUNTIF('Trade Journal'!AB3:AB502,"*T3*")</f>
        <v/>
      </c>
      <c r="C14" s="5">
        <f>COUNTIF('Trade Journal'!AC3:AC502,"TSL")</f>
        <v/>
      </c>
      <c r="E14" s="5">
        <f>COUNTIF('Trade Journal'!AC3:AC502,"SL")</f>
        <v/>
      </c>
    </row>
    <row r="16">
      <c r="A16" s="10" t="inlineStr">
        <is>
          <t>How to read</t>
        </is>
      </c>
    </row>
    <row r="17" ht="34" customHeight="1">
      <c r="A17" s="11" t="inlineStr">
        <is>
          <t>Use Trade Journal for one row per trade. Blue/yellow cells on Settings are editable. Formula cells calculate risk, planned R:R, gross/net P&amp;L and R multiple.</t>
        </is>
      </c>
    </row>
    <row r="18" ht="34" customHeight="1">
      <c r="A18" s="11" t="inlineStr">
        <is>
          <t>Important: Dashboard is a summary, not an order-management tool. Daily trade lockout is a procedural rule in this workbook; it does not technically prevent entries. Verify formulas in your Excel version.</t>
        </is>
      </c>
    </row>
  </sheetData>
  <mergeCells count="34">
    <mergeCell ref="A11:B11"/>
    <mergeCell ref="G11:H11"/>
    <mergeCell ref="C5:D5"/>
    <mergeCell ref="E5:F5"/>
    <mergeCell ref="C14:D14"/>
    <mergeCell ref="E14:F14"/>
    <mergeCell ref="A1:H1"/>
    <mergeCell ref="G8:H8"/>
    <mergeCell ref="E8:F8"/>
    <mergeCell ref="C4:D4"/>
    <mergeCell ref="E4:F4"/>
    <mergeCell ref="C10:D10"/>
    <mergeCell ref="A7:B7"/>
    <mergeCell ref="G7:H7"/>
    <mergeCell ref="E10:F10"/>
    <mergeCell ref="G10:H10"/>
    <mergeCell ref="E13:F13"/>
    <mergeCell ref="A18:H18"/>
    <mergeCell ref="C11:D11"/>
    <mergeCell ref="A2:H2"/>
    <mergeCell ref="E11:F11"/>
    <mergeCell ref="A5:B5"/>
    <mergeCell ref="G5:H5"/>
    <mergeCell ref="A14:B14"/>
    <mergeCell ref="A8:B8"/>
    <mergeCell ref="C8:D8"/>
    <mergeCell ref="A17:H17"/>
    <mergeCell ref="A4:B4"/>
    <mergeCell ref="G4:H4"/>
    <mergeCell ref="C7:D7"/>
    <mergeCell ref="E7:F7"/>
    <mergeCell ref="A10:B10"/>
    <mergeCell ref="A13:B13"/>
    <mergeCell ref="C13:D13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56" customWidth="1" min="3" max="3"/>
    <col width="4" customWidth="1" min="4" max="4"/>
  </cols>
  <sheetData>
    <row r="1" ht="34" customHeight="1">
      <c r="A1" s="1" t="inlineStr">
        <is>
          <t>CONFIGURATION • EDIT BLUE VALUES</t>
        </is>
      </c>
    </row>
    <row r="2" ht="32" customHeight="1">
      <c r="A2" s="12" t="inlineStr">
        <is>
          <t>Parameter</t>
        </is>
      </c>
      <c r="B2" s="12" t="inlineStr">
        <is>
          <t>Value</t>
        </is>
      </c>
      <c r="C2" s="12" t="inlineStr">
        <is>
          <t>Description</t>
        </is>
      </c>
      <c r="D2" s="12" t="inlineStr"/>
    </row>
    <row r="3">
      <c r="A3" s="13" t="inlineStr">
        <is>
          <t>Starting Virtual Capital</t>
        </is>
      </c>
      <c r="B3" s="38" t="n">
        <v>1000000</v>
      </c>
      <c r="C3" s="15" t="inlineStr">
        <is>
          <t>₹ virtual starting balance</t>
        </is>
      </c>
    </row>
    <row r="4">
      <c r="A4" s="13" t="inlineStr">
        <is>
          <t>Max Trades Per Day</t>
        </is>
      </c>
      <c r="B4" s="16" t="n">
        <v>5</v>
      </c>
      <c r="C4" s="15" t="inlineStr">
        <is>
          <t>Each entry/re-entry counts as one trade</t>
        </is>
      </c>
    </row>
    <row r="5">
      <c r="A5" s="13" t="inlineStr">
        <is>
          <t>Risk Per Trade (%)</t>
        </is>
      </c>
      <c r="B5" s="17" t="n">
        <v>0.005</v>
      </c>
      <c r="C5" s="15" t="inlineStr">
        <is>
          <t>0.50% = ₹5,000 risk on ₹10,00,000</t>
        </is>
      </c>
    </row>
    <row r="6">
      <c r="A6" s="13" t="inlineStr">
        <is>
          <t>Daily Loss Limit (%)</t>
        </is>
      </c>
      <c r="B6" s="17" t="n">
        <v>0.02</v>
      </c>
      <c r="C6" s="15" t="inlineStr">
        <is>
          <t>Lockout threshold; include open P&amp;L operationally</t>
        </is>
      </c>
    </row>
    <row r="7">
      <c r="A7" s="13" t="inlineStr">
        <is>
          <t>Max Open Positions</t>
        </is>
      </c>
      <c r="B7" s="16" t="n">
        <v>1</v>
      </c>
      <c r="C7" s="15" t="inlineStr">
        <is>
          <t>Default conservative setting</t>
        </is>
      </c>
    </row>
    <row r="8">
      <c r="A8" s="13" t="inlineStr">
        <is>
          <t>Minimum Planned R:R</t>
        </is>
      </c>
      <c r="B8" s="18" t="n">
        <v>2</v>
      </c>
      <c r="C8" s="15" t="inlineStr">
        <is>
          <t>Warning threshold, not a profit guarantee</t>
        </is>
      </c>
    </row>
    <row r="9">
      <c r="A9" s="13" t="inlineStr">
        <is>
          <t>Estimated Cost per Unit</t>
        </is>
      </c>
      <c r="B9" s="19" t="n">
        <v>0</v>
      </c>
      <c r="C9" s="15" t="inlineStr">
        <is>
          <t>Optional cost assumption per unit; edit for instrument</t>
        </is>
      </c>
    </row>
    <row r="10">
      <c r="A10" s="13" t="inlineStr">
        <is>
          <t>Slippage per Unit</t>
        </is>
      </c>
      <c r="B10" s="19" t="n">
        <v>0</v>
      </c>
      <c r="C10" s="15" t="inlineStr">
        <is>
          <t>Optional price slippage assumption per unit</t>
        </is>
      </c>
    </row>
    <row r="11">
      <c r="A11" s="13" t="inlineStr">
        <is>
          <t>Default T1 (R)</t>
        </is>
      </c>
      <c r="B11" s="19" t="n">
        <v>1</v>
      </c>
      <c r="C11" s="15" t="inlineStr">
        <is>
          <t>Target milestone</t>
        </is>
      </c>
    </row>
    <row r="12">
      <c r="A12" s="13" t="inlineStr">
        <is>
          <t>Default T2 (R)</t>
        </is>
      </c>
      <c r="B12" s="19" t="n">
        <v>2</v>
      </c>
      <c r="C12" s="15" t="inlineStr">
        <is>
          <t>Target milestone</t>
        </is>
      </c>
    </row>
    <row r="13">
      <c r="A13" s="13" t="inlineStr">
        <is>
          <t>Default T3 (R)</t>
        </is>
      </c>
      <c r="B13" s="19" t="n">
        <v>3</v>
      </c>
      <c r="C13" s="15" t="inlineStr">
        <is>
          <t>Target milestone</t>
        </is>
      </c>
    </row>
    <row r="14">
      <c r="A14" s="13" t="inlineStr">
        <is>
          <t>Account Label</t>
        </is>
      </c>
      <c r="B14" s="19" t="inlineStr">
        <is>
          <t>PAPER • SIMULATED</t>
        </is>
      </c>
      <c r="C14" s="15" t="inlineStr">
        <is>
          <t>Not connected to broker/live trading</t>
        </is>
      </c>
    </row>
  </sheetData>
  <mergeCells count="1">
    <mergeCell ref="A1:D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6" customWidth="1" min="5" max="5"/>
    <col width="14" customWidth="1" min="6" max="6"/>
    <col width="20" customWidth="1" min="7" max="7"/>
    <col width="12" customWidth="1" min="8" max="8"/>
    <col width="20" customWidth="1" min="9" max="9"/>
    <col width="12" customWidth="1" min="10" max="10"/>
    <col width="24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4" customWidth="1" min="17" max="17"/>
    <col width="12" customWidth="1" min="18" max="18"/>
    <col width="15" customWidth="1" min="19" max="19"/>
    <col width="16" customWidth="1" min="20" max="20"/>
    <col width="16" customWidth="1" min="21" max="21"/>
    <col width="16" customWidth="1" min="22" max="22"/>
    <col width="18" customWidth="1" min="23" max="23"/>
    <col width="14" customWidth="1" min="24" max="24"/>
    <col width="18" customWidth="1" min="25" max="25"/>
    <col width="18" customWidth="1" min="26" max="26"/>
    <col width="18" customWidth="1" min="27" max="27"/>
    <col width="20" customWidth="1" min="28" max="28"/>
    <col width="16" customWidth="1" min="29" max="29"/>
    <col width="16" customWidth="1" min="30" max="30"/>
    <col width="13" customWidth="1" min="31" max="31"/>
    <col width="13" customWidth="1" min="32" max="32"/>
    <col width="15" customWidth="1" min="33" max="33"/>
    <col width="13" customWidth="1" min="34" max="34"/>
    <col width="16" customWidth="1" min="35" max="35"/>
    <col width="18" customWidth="1" min="36" max="36"/>
    <col width="30" customWidth="1" min="37" max="37"/>
    <col width="28" customWidth="1" min="38" max="38"/>
  </cols>
  <sheetData>
    <row r="1" ht="34" customHeight="1">
      <c r="A1" s="1" t="inlineStr">
        <is>
          <t>TRADE JOURNAL • PAPER TRADING ONLY</t>
        </is>
      </c>
    </row>
    <row r="2" ht="32" customHeight="1">
      <c r="A2" s="12" t="inlineStr">
        <is>
          <t>Trade ID</t>
        </is>
      </c>
      <c r="B2" s="12" t="inlineStr">
        <is>
          <t>Date</t>
        </is>
      </c>
      <c r="C2" s="12" t="inlineStr">
        <is>
          <t>Entry Time</t>
        </is>
      </c>
      <c r="D2" s="12" t="inlineStr">
        <is>
          <t>Exit Time</t>
        </is>
      </c>
      <c r="E2" s="12" t="inlineStr">
        <is>
          <t>Market Type</t>
        </is>
      </c>
      <c r="F2" s="12" t="inlineStr">
        <is>
          <t>Instrument</t>
        </is>
      </c>
      <c r="G2" s="12" t="inlineStr">
        <is>
          <t>Symbol / Contract</t>
        </is>
      </c>
      <c r="H2" s="12" t="inlineStr">
        <is>
          <t>Direction</t>
        </is>
      </c>
      <c r="I2" s="12" t="inlineStr">
        <is>
          <t>Strategy / Setup</t>
        </is>
      </c>
      <c r="J2" s="12" t="inlineStr">
        <is>
          <t>Timeframe</t>
        </is>
      </c>
      <c r="K2" s="12" t="inlineStr">
        <is>
          <t>Indicator(s) / Values</t>
        </is>
      </c>
      <c r="L2" s="12" t="inlineStr">
        <is>
          <t>Entry Price</t>
        </is>
      </c>
      <c r="M2" s="12" t="inlineStr">
        <is>
          <t>Initial SL</t>
        </is>
      </c>
      <c r="N2" s="12" t="inlineStr">
        <is>
          <t>T1 Price</t>
        </is>
      </c>
      <c r="O2" s="12" t="inlineStr">
        <is>
          <t>T2 Price</t>
        </is>
      </c>
      <c r="P2" s="12" t="inlineStr">
        <is>
          <t>T3 Price</t>
        </is>
      </c>
      <c r="Q2" s="12" t="inlineStr">
        <is>
          <t>Exit Price (avg)</t>
        </is>
      </c>
      <c r="R2" s="12" t="inlineStr">
        <is>
          <t>Quantity</t>
        </is>
      </c>
      <c r="S2" s="12" t="inlineStr">
        <is>
          <t>Lot/Contract Multiplier</t>
        </is>
      </c>
      <c r="T2" s="12" t="inlineStr">
        <is>
          <t>Risk Budget (₹)</t>
        </is>
      </c>
      <c r="U2" s="12" t="inlineStr">
        <is>
          <t>Initial Risk (₹)</t>
        </is>
      </c>
      <c r="V2" s="12" t="inlineStr">
        <is>
          <t>Planned R:R (T2)</t>
        </is>
      </c>
      <c r="W2" s="12" t="inlineStr">
        <is>
          <t>TSL Mode</t>
        </is>
      </c>
      <c r="X2" s="12" t="inlineStr">
        <is>
          <t>TSL Trigger (R)</t>
        </is>
      </c>
      <c r="Y2" s="12" t="inlineStr">
        <is>
          <t>Trail Distance (price)</t>
        </is>
      </c>
      <c r="Z2" s="12" t="inlineStr">
        <is>
          <t>Highest Favourable Price</t>
        </is>
      </c>
      <c r="AA2" s="12" t="inlineStr">
        <is>
          <t>Lowest Favourable Price</t>
        </is>
      </c>
      <c r="AB2" s="12" t="inlineStr">
        <is>
          <t>Target Hit (T1/T2/T3)</t>
        </is>
      </c>
      <c r="AC2" s="12" t="inlineStr">
        <is>
          <t>Exit Type</t>
        </is>
      </c>
      <c r="AD2" s="12" t="inlineStr">
        <is>
          <t>Gross P&amp;L (₹)</t>
        </is>
      </c>
      <c r="AE2" s="12" t="inlineStr">
        <is>
          <t>Costs (₹)</t>
        </is>
      </c>
      <c r="AF2" s="12" t="inlineStr">
        <is>
          <t>Slippage (₹)</t>
        </is>
      </c>
      <c r="AG2" s="12" t="inlineStr">
        <is>
          <t>Net P&amp;L (₹)</t>
        </is>
      </c>
      <c r="AH2" s="12" t="inlineStr">
        <is>
          <t>R Multiple</t>
        </is>
      </c>
      <c r="AI2" s="12" t="inlineStr">
        <is>
          <t>Rule Followed?</t>
        </is>
      </c>
      <c r="AJ2" s="12" t="inlineStr">
        <is>
          <t>Emotion / State</t>
        </is>
      </c>
      <c r="AK2" s="12" t="inlineStr">
        <is>
          <t>Post-trade Lesson</t>
        </is>
      </c>
      <c r="AL2" s="12" t="inlineStr">
        <is>
          <t>Screenshot / Reference</t>
        </is>
      </c>
    </row>
    <row r="3">
      <c r="A3" s="20">
        <f>IF(B3="","","TR-"&amp;TEXT(ROW()-2,"0000"))</f>
        <v/>
      </c>
      <c r="B3" s="39" t="n"/>
      <c r="C3" s="40" t="n"/>
      <c r="D3" s="40" t="n"/>
      <c r="E3" s="23" t="n"/>
      <c r="F3" s="23" t="n"/>
      <c r="G3" s="23" t="n"/>
      <c r="H3" s="23" t="n"/>
      <c r="I3" s="23" t="n"/>
      <c r="J3" s="23" t="n"/>
      <c r="K3" s="23" t="n"/>
      <c r="L3" s="41" t="n"/>
      <c r="M3" s="41" t="n"/>
      <c r="N3" s="41" t="n"/>
      <c r="O3" s="41" t="n"/>
      <c r="P3" s="41" t="n"/>
      <c r="Q3" s="41" t="n"/>
      <c r="R3" s="23" t="n"/>
      <c r="S3" s="23" t="n"/>
      <c r="T3" s="42">
        <f>IF(OR(L3="",M3=""),"",IFERROR(Settings!$B$3*Settings!$B$5,0))</f>
        <v/>
      </c>
      <c r="U3" s="42">
        <f>IF(OR(L3="",M3="",R3=""),"",ABS(L3-M3)*R3*IF(S3="",1,S3))</f>
        <v/>
      </c>
      <c r="V3" s="26">
        <f>IFERROR(ABS(N3-L3)/ABS(L3-M3),"")</f>
        <v/>
      </c>
      <c r="W3" s="23" t="n"/>
      <c r="X3" s="23" t="n"/>
      <c r="Y3" s="23" t="n"/>
      <c r="Z3" s="23" t="n"/>
      <c r="AA3" s="23" t="n"/>
      <c r="AB3" s="23" t="n"/>
      <c r="AC3" s="23" t="n"/>
      <c r="AD3" s="42">
        <f>IF(OR(L3="",Q3="",R3=""),"",IF(H3="Long",(Q3-L3)*R3*IF(S3="",1,S3),(L3-Q3)*R3*IF(S3="",1,S3)))</f>
        <v/>
      </c>
      <c r="AE3" s="41" t="n"/>
      <c r="AF3" s="41" t="n"/>
      <c r="AG3" s="42">
        <f>IF(AD3="","",AD3-IF(AE3="",0,AE3)-IF(AF3="",0,AF3))</f>
        <v/>
      </c>
      <c r="AH3" s="26">
        <f>IFERROR(AG3/U3,"")</f>
        <v/>
      </c>
      <c r="AI3" s="23" t="n"/>
      <c r="AJ3" s="23" t="n"/>
      <c r="AK3" s="23" t="n"/>
      <c r="AL3" s="23" t="n"/>
    </row>
    <row r="4">
      <c r="A4" s="20">
        <f>IF(B4="","","TR-"&amp;TEXT(ROW()-2,"0000"))</f>
        <v/>
      </c>
      <c r="B4" s="43" t="n"/>
      <c r="C4" s="44" t="n"/>
      <c r="D4" s="44" t="n"/>
      <c r="E4" s="29" t="n"/>
      <c r="F4" s="29" t="n"/>
      <c r="G4" s="29" t="n"/>
      <c r="H4" s="29" t="n"/>
      <c r="I4" s="29" t="n"/>
      <c r="J4" s="29" t="n"/>
      <c r="K4" s="29" t="n"/>
      <c r="L4" s="45" t="n"/>
      <c r="M4" s="45" t="n"/>
      <c r="N4" s="45" t="n"/>
      <c r="O4" s="45" t="n"/>
      <c r="P4" s="45" t="n"/>
      <c r="Q4" s="45" t="n"/>
      <c r="R4" s="29" t="n"/>
      <c r="S4" s="29" t="n"/>
      <c r="T4" s="42">
        <f>IF(OR(L4="",M4=""),"",IFERROR(Settings!$B$3*Settings!$B$5,0))</f>
        <v/>
      </c>
      <c r="U4" s="42">
        <f>IF(OR(L4="",M4="",R4=""),"",ABS(L4-M4)*R4*IF(S4="",1,S4))</f>
        <v/>
      </c>
      <c r="V4" s="26">
        <f>IFERROR(ABS(N4-L4)/ABS(L4-M4),"")</f>
        <v/>
      </c>
      <c r="W4" s="29" t="n"/>
      <c r="X4" s="29" t="n"/>
      <c r="Y4" s="29" t="n"/>
      <c r="Z4" s="29" t="n"/>
      <c r="AA4" s="29" t="n"/>
      <c r="AB4" s="29" t="n"/>
      <c r="AC4" s="29" t="n"/>
      <c r="AD4" s="42">
        <f>IF(OR(L4="",Q4="",R4=""),"",IF(H4="Long",(Q4-L4)*R4*IF(S4="",1,S4),(L4-Q4)*R4*IF(S4="",1,S4)))</f>
        <v/>
      </c>
      <c r="AE4" s="45" t="n"/>
      <c r="AF4" s="45" t="n"/>
      <c r="AG4" s="42">
        <f>IF(AD4="","",AD4-IF(AE4="",0,AE4)-IF(AF4="",0,AF4))</f>
        <v/>
      </c>
      <c r="AH4" s="26">
        <f>IFERROR(AG4/U4,"")</f>
        <v/>
      </c>
      <c r="AI4" s="29" t="n"/>
      <c r="AJ4" s="29" t="n"/>
      <c r="AK4" s="29" t="n"/>
      <c r="AL4" s="29" t="n"/>
    </row>
    <row r="5">
      <c r="A5" s="20">
        <f>IF(B5="","","TR-"&amp;TEXT(ROW()-2,"0000"))</f>
        <v/>
      </c>
      <c r="B5" s="39" t="n"/>
      <c r="C5" s="40" t="n"/>
      <c r="D5" s="40" t="n"/>
      <c r="E5" s="23" t="n"/>
      <c r="F5" s="23" t="n"/>
      <c r="G5" s="23" t="n"/>
      <c r="H5" s="23" t="n"/>
      <c r="I5" s="23" t="n"/>
      <c r="J5" s="23" t="n"/>
      <c r="K5" s="23" t="n"/>
      <c r="L5" s="41" t="n"/>
      <c r="M5" s="41" t="n"/>
      <c r="N5" s="41" t="n"/>
      <c r="O5" s="41" t="n"/>
      <c r="P5" s="41" t="n"/>
      <c r="Q5" s="41" t="n"/>
      <c r="R5" s="23" t="n"/>
      <c r="S5" s="23" t="n"/>
      <c r="T5" s="42">
        <f>IF(OR(L5="",M5=""),"",IFERROR(Settings!$B$3*Settings!$B$5,0))</f>
        <v/>
      </c>
      <c r="U5" s="42">
        <f>IF(OR(L5="",M5="",R5=""),"",ABS(L5-M5)*R5*IF(S5="",1,S5))</f>
        <v/>
      </c>
      <c r="V5" s="26">
        <f>IFERROR(ABS(N5-L5)/ABS(L5-M5),"")</f>
        <v/>
      </c>
      <c r="W5" s="23" t="n"/>
      <c r="X5" s="23" t="n"/>
      <c r="Y5" s="23" t="n"/>
      <c r="Z5" s="23" t="n"/>
      <c r="AA5" s="23" t="n"/>
      <c r="AB5" s="23" t="n"/>
      <c r="AC5" s="23" t="n"/>
      <c r="AD5" s="42">
        <f>IF(OR(L5="",Q5="",R5=""),"",IF(H5="Long",(Q5-L5)*R5*IF(S5="",1,S5),(L5-Q5)*R5*IF(S5="",1,S5)))</f>
        <v/>
      </c>
      <c r="AE5" s="41" t="n"/>
      <c r="AF5" s="41" t="n"/>
      <c r="AG5" s="42">
        <f>IF(AD5="","",AD5-IF(AE5="",0,AE5)-IF(AF5="",0,AF5))</f>
        <v/>
      </c>
      <c r="AH5" s="26">
        <f>IFERROR(AG5/U5,"")</f>
        <v/>
      </c>
      <c r="AI5" s="23" t="n"/>
      <c r="AJ5" s="23" t="n"/>
      <c r="AK5" s="23" t="n"/>
      <c r="AL5" s="23" t="n"/>
    </row>
    <row r="6">
      <c r="A6" s="20">
        <f>IF(B6="","","TR-"&amp;TEXT(ROW()-2,"0000"))</f>
        <v/>
      </c>
      <c r="B6" s="43" t="n"/>
      <c r="C6" s="44" t="n"/>
      <c r="D6" s="44" t="n"/>
      <c r="E6" s="29" t="n"/>
      <c r="F6" s="29" t="n"/>
      <c r="G6" s="29" t="n"/>
      <c r="H6" s="29" t="n"/>
      <c r="I6" s="29" t="n"/>
      <c r="J6" s="29" t="n"/>
      <c r="K6" s="29" t="n"/>
      <c r="L6" s="45" t="n"/>
      <c r="M6" s="45" t="n"/>
      <c r="N6" s="45" t="n"/>
      <c r="O6" s="45" t="n"/>
      <c r="P6" s="45" t="n"/>
      <c r="Q6" s="45" t="n"/>
      <c r="R6" s="29" t="n"/>
      <c r="S6" s="29" t="n"/>
      <c r="T6" s="42">
        <f>IF(OR(L6="",M6=""),"",IFERROR(Settings!$B$3*Settings!$B$5,0))</f>
        <v/>
      </c>
      <c r="U6" s="42">
        <f>IF(OR(L6="",M6="",R6=""),"",ABS(L6-M6)*R6*IF(S6="",1,S6))</f>
        <v/>
      </c>
      <c r="V6" s="26">
        <f>IFERROR(ABS(N6-L6)/ABS(L6-M6),"")</f>
        <v/>
      </c>
      <c r="W6" s="29" t="n"/>
      <c r="X6" s="29" t="n"/>
      <c r="Y6" s="29" t="n"/>
      <c r="Z6" s="29" t="n"/>
      <c r="AA6" s="29" t="n"/>
      <c r="AB6" s="29" t="n"/>
      <c r="AC6" s="29" t="n"/>
      <c r="AD6" s="42">
        <f>IF(OR(L6="",Q6="",R6=""),"",IF(H6="Long",(Q6-L6)*R6*IF(S6="",1,S6),(L6-Q6)*R6*IF(S6="",1,S6)))</f>
        <v/>
      </c>
      <c r="AE6" s="45" t="n"/>
      <c r="AF6" s="45" t="n"/>
      <c r="AG6" s="42">
        <f>IF(AD6="","",AD6-IF(AE6="",0,AE6)-IF(AF6="",0,AF6))</f>
        <v/>
      </c>
      <c r="AH6" s="26">
        <f>IFERROR(AG6/U6,"")</f>
        <v/>
      </c>
      <c r="AI6" s="29" t="n"/>
      <c r="AJ6" s="29" t="n"/>
      <c r="AK6" s="29" t="n"/>
      <c r="AL6" s="29" t="n"/>
    </row>
    <row r="7">
      <c r="A7" s="20">
        <f>IF(B7="","","TR-"&amp;TEXT(ROW()-2,"0000"))</f>
        <v/>
      </c>
      <c r="B7" s="39" t="n"/>
      <c r="C7" s="40" t="n"/>
      <c r="D7" s="40" t="n"/>
      <c r="E7" s="23" t="n"/>
      <c r="F7" s="23" t="n"/>
      <c r="G7" s="23" t="n"/>
      <c r="H7" s="23" t="n"/>
      <c r="I7" s="23" t="n"/>
      <c r="J7" s="23" t="n"/>
      <c r="K7" s="23" t="n"/>
      <c r="L7" s="41" t="n"/>
      <c r="M7" s="41" t="n"/>
      <c r="N7" s="41" t="n"/>
      <c r="O7" s="41" t="n"/>
      <c r="P7" s="41" t="n"/>
      <c r="Q7" s="41" t="n"/>
      <c r="R7" s="23" t="n"/>
      <c r="S7" s="23" t="n"/>
      <c r="T7" s="42">
        <f>IF(OR(L7="",M7=""),"",IFERROR(Settings!$B$3*Settings!$B$5,0))</f>
        <v/>
      </c>
      <c r="U7" s="42">
        <f>IF(OR(L7="",M7="",R7=""),"",ABS(L7-M7)*R7*IF(S7="",1,S7))</f>
        <v/>
      </c>
      <c r="V7" s="26">
        <f>IFERROR(ABS(N7-L7)/ABS(L7-M7),"")</f>
        <v/>
      </c>
      <c r="W7" s="23" t="n"/>
      <c r="X7" s="23" t="n"/>
      <c r="Y7" s="23" t="n"/>
      <c r="Z7" s="23" t="n"/>
      <c r="AA7" s="23" t="n"/>
      <c r="AB7" s="23" t="n"/>
      <c r="AC7" s="23" t="n"/>
      <c r="AD7" s="42">
        <f>IF(OR(L7="",Q7="",R7=""),"",IF(H7="Long",(Q7-L7)*R7*IF(S7="",1,S7),(L7-Q7)*R7*IF(S7="",1,S7)))</f>
        <v/>
      </c>
      <c r="AE7" s="41" t="n"/>
      <c r="AF7" s="41" t="n"/>
      <c r="AG7" s="42">
        <f>IF(AD7="","",AD7-IF(AE7="",0,AE7)-IF(AF7="",0,AF7))</f>
        <v/>
      </c>
      <c r="AH7" s="26">
        <f>IFERROR(AG7/U7,"")</f>
        <v/>
      </c>
      <c r="AI7" s="23" t="n"/>
      <c r="AJ7" s="23" t="n"/>
      <c r="AK7" s="23" t="n"/>
      <c r="AL7" s="23" t="n"/>
    </row>
    <row r="8">
      <c r="A8" s="20">
        <f>IF(B8="","","TR-"&amp;TEXT(ROW()-2,"0000"))</f>
        <v/>
      </c>
      <c r="B8" s="43" t="n"/>
      <c r="C8" s="44" t="n"/>
      <c r="D8" s="44" t="n"/>
      <c r="E8" s="29" t="n"/>
      <c r="F8" s="29" t="n"/>
      <c r="G8" s="29" t="n"/>
      <c r="H8" s="29" t="n"/>
      <c r="I8" s="29" t="n"/>
      <c r="J8" s="29" t="n"/>
      <c r="K8" s="29" t="n"/>
      <c r="L8" s="45" t="n"/>
      <c r="M8" s="45" t="n"/>
      <c r="N8" s="45" t="n"/>
      <c r="O8" s="45" t="n"/>
      <c r="P8" s="45" t="n"/>
      <c r="Q8" s="45" t="n"/>
      <c r="R8" s="29" t="n"/>
      <c r="S8" s="29" t="n"/>
      <c r="T8" s="42">
        <f>IF(OR(L8="",M8=""),"",IFERROR(Settings!$B$3*Settings!$B$5,0))</f>
        <v/>
      </c>
      <c r="U8" s="42">
        <f>IF(OR(L8="",M8="",R8=""),"",ABS(L8-M8)*R8*IF(S8="",1,S8))</f>
        <v/>
      </c>
      <c r="V8" s="26">
        <f>IFERROR(ABS(N8-L8)/ABS(L8-M8),"")</f>
        <v/>
      </c>
      <c r="W8" s="29" t="n"/>
      <c r="X8" s="29" t="n"/>
      <c r="Y8" s="29" t="n"/>
      <c r="Z8" s="29" t="n"/>
      <c r="AA8" s="29" t="n"/>
      <c r="AB8" s="29" t="n"/>
      <c r="AC8" s="29" t="n"/>
      <c r="AD8" s="42">
        <f>IF(OR(L8="",Q8="",R8=""),"",IF(H8="Long",(Q8-L8)*R8*IF(S8="",1,S8),(L8-Q8)*R8*IF(S8="",1,S8)))</f>
        <v/>
      </c>
      <c r="AE8" s="45" t="n"/>
      <c r="AF8" s="45" t="n"/>
      <c r="AG8" s="42">
        <f>IF(AD8="","",AD8-IF(AE8="",0,AE8)-IF(AF8="",0,AF8))</f>
        <v/>
      </c>
      <c r="AH8" s="26">
        <f>IFERROR(AG8/U8,"")</f>
        <v/>
      </c>
      <c r="AI8" s="29" t="n"/>
      <c r="AJ8" s="29" t="n"/>
      <c r="AK8" s="29" t="n"/>
      <c r="AL8" s="29" t="n"/>
    </row>
    <row r="9">
      <c r="A9" s="20">
        <f>IF(B9="","","TR-"&amp;TEXT(ROW()-2,"0000"))</f>
        <v/>
      </c>
      <c r="B9" s="39" t="n"/>
      <c r="C9" s="40" t="n"/>
      <c r="D9" s="40" t="n"/>
      <c r="E9" s="23" t="n"/>
      <c r="F9" s="23" t="n"/>
      <c r="G9" s="23" t="n"/>
      <c r="H9" s="23" t="n"/>
      <c r="I9" s="23" t="n"/>
      <c r="J9" s="23" t="n"/>
      <c r="K9" s="23" t="n"/>
      <c r="L9" s="41" t="n"/>
      <c r="M9" s="41" t="n"/>
      <c r="N9" s="41" t="n"/>
      <c r="O9" s="41" t="n"/>
      <c r="P9" s="41" t="n"/>
      <c r="Q9" s="41" t="n"/>
      <c r="R9" s="23" t="n"/>
      <c r="S9" s="23" t="n"/>
      <c r="T9" s="42">
        <f>IF(OR(L9="",M9=""),"",IFERROR(Settings!$B$3*Settings!$B$5,0))</f>
        <v/>
      </c>
      <c r="U9" s="42">
        <f>IF(OR(L9="",M9="",R9=""),"",ABS(L9-M9)*R9*IF(S9="",1,S9))</f>
        <v/>
      </c>
      <c r="V9" s="26">
        <f>IFERROR(ABS(N9-L9)/ABS(L9-M9),"")</f>
        <v/>
      </c>
      <c r="W9" s="23" t="n"/>
      <c r="X9" s="23" t="n"/>
      <c r="Y9" s="23" t="n"/>
      <c r="Z9" s="23" t="n"/>
      <c r="AA9" s="23" t="n"/>
      <c r="AB9" s="23" t="n"/>
      <c r="AC9" s="23" t="n"/>
      <c r="AD9" s="42">
        <f>IF(OR(L9="",Q9="",R9=""),"",IF(H9="Long",(Q9-L9)*R9*IF(S9="",1,S9),(L9-Q9)*R9*IF(S9="",1,S9)))</f>
        <v/>
      </c>
      <c r="AE9" s="41" t="n"/>
      <c r="AF9" s="41" t="n"/>
      <c r="AG9" s="42">
        <f>IF(AD9="","",AD9-IF(AE9="",0,AE9)-IF(AF9="",0,AF9))</f>
        <v/>
      </c>
      <c r="AH9" s="26">
        <f>IFERROR(AG9/U9,"")</f>
        <v/>
      </c>
      <c r="AI9" s="23" t="n"/>
      <c r="AJ9" s="23" t="n"/>
      <c r="AK9" s="23" t="n"/>
      <c r="AL9" s="23" t="n"/>
    </row>
    <row r="10">
      <c r="A10" s="20">
        <f>IF(B10="","","TR-"&amp;TEXT(ROW()-2,"0000"))</f>
        <v/>
      </c>
      <c r="B10" s="43" t="n"/>
      <c r="C10" s="44" t="n"/>
      <c r="D10" s="44" t="n"/>
      <c r="E10" s="29" t="n"/>
      <c r="F10" s="29" t="n"/>
      <c r="G10" s="29" t="n"/>
      <c r="H10" s="29" t="n"/>
      <c r="I10" s="29" t="n"/>
      <c r="J10" s="29" t="n"/>
      <c r="K10" s="29" t="n"/>
      <c r="L10" s="45" t="n"/>
      <c r="M10" s="45" t="n"/>
      <c r="N10" s="45" t="n"/>
      <c r="O10" s="45" t="n"/>
      <c r="P10" s="45" t="n"/>
      <c r="Q10" s="45" t="n"/>
      <c r="R10" s="29" t="n"/>
      <c r="S10" s="29" t="n"/>
      <c r="T10" s="42">
        <f>IF(OR(L10="",M10=""),"",IFERROR(Settings!$B$3*Settings!$B$5,0))</f>
        <v/>
      </c>
      <c r="U10" s="42">
        <f>IF(OR(L10="",M10="",R10=""),"",ABS(L10-M10)*R10*IF(S10="",1,S10))</f>
        <v/>
      </c>
      <c r="V10" s="26">
        <f>IFERROR(ABS(N10-L10)/ABS(L10-M10),"")</f>
        <v/>
      </c>
      <c r="W10" s="29" t="n"/>
      <c r="X10" s="29" t="n"/>
      <c r="Y10" s="29" t="n"/>
      <c r="Z10" s="29" t="n"/>
      <c r="AA10" s="29" t="n"/>
      <c r="AB10" s="29" t="n"/>
      <c r="AC10" s="29" t="n"/>
      <c r="AD10" s="42">
        <f>IF(OR(L10="",Q10="",R10=""),"",IF(H10="Long",(Q10-L10)*R10*IF(S10="",1,S10),(L10-Q10)*R10*IF(S10="",1,S10)))</f>
        <v/>
      </c>
      <c r="AE10" s="45" t="n"/>
      <c r="AF10" s="45" t="n"/>
      <c r="AG10" s="42">
        <f>IF(AD10="","",AD10-IF(AE10="",0,AE10)-IF(AF10="",0,AF10))</f>
        <v/>
      </c>
      <c r="AH10" s="26">
        <f>IFERROR(AG10/U10,"")</f>
        <v/>
      </c>
      <c r="AI10" s="29" t="n"/>
      <c r="AJ10" s="29" t="n"/>
      <c r="AK10" s="29" t="n"/>
      <c r="AL10" s="29" t="n"/>
    </row>
    <row r="11">
      <c r="A11" s="20">
        <f>IF(B11="","","TR-"&amp;TEXT(ROW()-2,"0000"))</f>
        <v/>
      </c>
      <c r="B11" s="39" t="n"/>
      <c r="C11" s="40" t="n"/>
      <c r="D11" s="40" t="n"/>
      <c r="E11" s="23" t="n"/>
      <c r="F11" s="23" t="n"/>
      <c r="G11" s="23" t="n"/>
      <c r="H11" s="23" t="n"/>
      <c r="I11" s="23" t="n"/>
      <c r="J11" s="23" t="n"/>
      <c r="K11" s="23" t="n"/>
      <c r="L11" s="41" t="n"/>
      <c r="M11" s="41" t="n"/>
      <c r="N11" s="41" t="n"/>
      <c r="O11" s="41" t="n"/>
      <c r="P11" s="41" t="n"/>
      <c r="Q11" s="41" t="n"/>
      <c r="R11" s="23" t="n"/>
      <c r="S11" s="23" t="n"/>
      <c r="T11" s="42">
        <f>IF(OR(L11="",M11=""),"",IFERROR(Settings!$B$3*Settings!$B$5,0))</f>
        <v/>
      </c>
      <c r="U11" s="42">
        <f>IF(OR(L11="",M11="",R11=""),"",ABS(L11-M11)*R11*IF(S11="",1,S11))</f>
        <v/>
      </c>
      <c r="V11" s="26">
        <f>IFERROR(ABS(N11-L11)/ABS(L11-M11),"")</f>
        <v/>
      </c>
      <c r="W11" s="23" t="n"/>
      <c r="X11" s="23" t="n"/>
      <c r="Y11" s="23" t="n"/>
      <c r="Z11" s="23" t="n"/>
      <c r="AA11" s="23" t="n"/>
      <c r="AB11" s="23" t="n"/>
      <c r="AC11" s="23" t="n"/>
      <c r="AD11" s="42">
        <f>IF(OR(L11="",Q11="",R11=""),"",IF(H11="Long",(Q11-L11)*R11*IF(S11="",1,S11),(L11-Q11)*R11*IF(S11="",1,S11)))</f>
        <v/>
      </c>
      <c r="AE11" s="41" t="n"/>
      <c r="AF11" s="41" t="n"/>
      <c r="AG11" s="42">
        <f>IF(AD11="","",AD11-IF(AE11="",0,AE11)-IF(AF11="",0,AF11))</f>
        <v/>
      </c>
      <c r="AH11" s="26">
        <f>IFERROR(AG11/U11,"")</f>
        <v/>
      </c>
      <c r="AI11" s="23" t="n"/>
      <c r="AJ11" s="23" t="n"/>
      <c r="AK11" s="23" t="n"/>
      <c r="AL11" s="23" t="n"/>
    </row>
    <row r="12">
      <c r="A12" s="20">
        <f>IF(B12="","","TR-"&amp;TEXT(ROW()-2,"0000"))</f>
        <v/>
      </c>
      <c r="B12" s="43" t="n"/>
      <c r="C12" s="44" t="n"/>
      <c r="D12" s="44" t="n"/>
      <c r="E12" s="29" t="n"/>
      <c r="F12" s="29" t="n"/>
      <c r="G12" s="29" t="n"/>
      <c r="H12" s="29" t="n"/>
      <c r="I12" s="29" t="n"/>
      <c r="J12" s="29" t="n"/>
      <c r="K12" s="29" t="n"/>
      <c r="L12" s="45" t="n"/>
      <c r="M12" s="45" t="n"/>
      <c r="N12" s="45" t="n"/>
      <c r="O12" s="45" t="n"/>
      <c r="P12" s="45" t="n"/>
      <c r="Q12" s="45" t="n"/>
      <c r="R12" s="29" t="n"/>
      <c r="S12" s="29" t="n"/>
      <c r="T12" s="42">
        <f>IF(OR(L12="",M12=""),"",IFERROR(Settings!$B$3*Settings!$B$5,0))</f>
        <v/>
      </c>
      <c r="U12" s="42">
        <f>IF(OR(L12="",M12="",R12=""),"",ABS(L12-M12)*R12*IF(S12="",1,S12))</f>
        <v/>
      </c>
      <c r="V12" s="26">
        <f>IFERROR(ABS(N12-L12)/ABS(L12-M12),"")</f>
        <v/>
      </c>
      <c r="W12" s="29" t="n"/>
      <c r="X12" s="29" t="n"/>
      <c r="Y12" s="29" t="n"/>
      <c r="Z12" s="29" t="n"/>
      <c r="AA12" s="29" t="n"/>
      <c r="AB12" s="29" t="n"/>
      <c r="AC12" s="29" t="n"/>
      <c r="AD12" s="42">
        <f>IF(OR(L12="",Q12="",R12=""),"",IF(H12="Long",(Q12-L12)*R12*IF(S12="",1,S12),(L12-Q12)*R12*IF(S12="",1,S12)))</f>
        <v/>
      </c>
      <c r="AE12" s="45" t="n"/>
      <c r="AF12" s="45" t="n"/>
      <c r="AG12" s="42">
        <f>IF(AD12="","",AD12-IF(AE12="",0,AE12)-IF(AF12="",0,AF12))</f>
        <v/>
      </c>
      <c r="AH12" s="26">
        <f>IFERROR(AG12/U12,"")</f>
        <v/>
      </c>
      <c r="AI12" s="29" t="n"/>
      <c r="AJ12" s="29" t="n"/>
      <c r="AK12" s="29" t="n"/>
      <c r="AL12" s="29" t="n"/>
    </row>
    <row r="13">
      <c r="A13" s="20">
        <f>IF(B13="","","TR-"&amp;TEXT(ROW()-2,"0000"))</f>
        <v/>
      </c>
      <c r="B13" s="39" t="n"/>
      <c r="C13" s="40" t="n"/>
      <c r="D13" s="40" t="n"/>
      <c r="E13" s="23" t="n"/>
      <c r="F13" s="23" t="n"/>
      <c r="G13" s="23" t="n"/>
      <c r="H13" s="23" t="n"/>
      <c r="I13" s="23" t="n"/>
      <c r="J13" s="23" t="n"/>
      <c r="K13" s="23" t="n"/>
      <c r="L13" s="41" t="n"/>
      <c r="M13" s="41" t="n"/>
      <c r="N13" s="41" t="n"/>
      <c r="O13" s="41" t="n"/>
      <c r="P13" s="41" t="n"/>
      <c r="Q13" s="41" t="n"/>
      <c r="R13" s="23" t="n"/>
      <c r="S13" s="23" t="n"/>
      <c r="T13" s="42">
        <f>IF(OR(L13="",M13=""),"",IFERROR(Settings!$B$3*Settings!$B$5,0))</f>
        <v/>
      </c>
      <c r="U13" s="42">
        <f>IF(OR(L13="",M13="",R13=""),"",ABS(L13-M13)*R13*IF(S13="",1,S13))</f>
        <v/>
      </c>
      <c r="V13" s="26">
        <f>IFERROR(ABS(N13-L13)/ABS(L13-M13),"")</f>
        <v/>
      </c>
      <c r="W13" s="23" t="n"/>
      <c r="X13" s="23" t="n"/>
      <c r="Y13" s="23" t="n"/>
      <c r="Z13" s="23" t="n"/>
      <c r="AA13" s="23" t="n"/>
      <c r="AB13" s="23" t="n"/>
      <c r="AC13" s="23" t="n"/>
      <c r="AD13" s="42">
        <f>IF(OR(L13="",Q13="",R13=""),"",IF(H13="Long",(Q13-L13)*R13*IF(S13="",1,S13),(L13-Q13)*R13*IF(S13="",1,S13)))</f>
        <v/>
      </c>
      <c r="AE13" s="41" t="n"/>
      <c r="AF13" s="41" t="n"/>
      <c r="AG13" s="42">
        <f>IF(AD13="","",AD13-IF(AE13="",0,AE13)-IF(AF13="",0,AF13))</f>
        <v/>
      </c>
      <c r="AH13" s="26">
        <f>IFERROR(AG13/U13,"")</f>
        <v/>
      </c>
      <c r="AI13" s="23" t="n"/>
      <c r="AJ13" s="23" t="n"/>
      <c r="AK13" s="23" t="n"/>
      <c r="AL13" s="23" t="n"/>
    </row>
    <row r="14">
      <c r="A14" s="20">
        <f>IF(B14="","","TR-"&amp;TEXT(ROW()-2,"0000"))</f>
        <v/>
      </c>
      <c r="B14" s="43" t="n"/>
      <c r="C14" s="44" t="n"/>
      <c r="D14" s="44" t="n"/>
      <c r="E14" s="29" t="n"/>
      <c r="F14" s="29" t="n"/>
      <c r="G14" s="29" t="n"/>
      <c r="H14" s="29" t="n"/>
      <c r="I14" s="29" t="n"/>
      <c r="J14" s="29" t="n"/>
      <c r="K14" s="29" t="n"/>
      <c r="L14" s="45" t="n"/>
      <c r="M14" s="45" t="n"/>
      <c r="N14" s="45" t="n"/>
      <c r="O14" s="45" t="n"/>
      <c r="P14" s="45" t="n"/>
      <c r="Q14" s="45" t="n"/>
      <c r="R14" s="29" t="n"/>
      <c r="S14" s="29" t="n"/>
      <c r="T14" s="42">
        <f>IF(OR(L14="",M14=""),"",IFERROR(Settings!$B$3*Settings!$B$5,0))</f>
        <v/>
      </c>
      <c r="U14" s="42">
        <f>IF(OR(L14="",M14="",R14=""),"",ABS(L14-M14)*R14*IF(S14="",1,S14))</f>
        <v/>
      </c>
      <c r="V14" s="26">
        <f>IFERROR(ABS(N14-L14)/ABS(L14-M14),"")</f>
        <v/>
      </c>
      <c r="W14" s="29" t="n"/>
      <c r="X14" s="29" t="n"/>
      <c r="Y14" s="29" t="n"/>
      <c r="Z14" s="29" t="n"/>
      <c r="AA14" s="29" t="n"/>
      <c r="AB14" s="29" t="n"/>
      <c r="AC14" s="29" t="n"/>
      <c r="AD14" s="42">
        <f>IF(OR(L14="",Q14="",R14=""),"",IF(H14="Long",(Q14-L14)*R14*IF(S14="",1,S14),(L14-Q14)*R14*IF(S14="",1,S14)))</f>
        <v/>
      </c>
      <c r="AE14" s="45" t="n"/>
      <c r="AF14" s="45" t="n"/>
      <c r="AG14" s="42">
        <f>IF(AD14="","",AD14-IF(AE14="",0,AE14)-IF(AF14="",0,AF14))</f>
        <v/>
      </c>
      <c r="AH14" s="26">
        <f>IFERROR(AG14/U14,"")</f>
        <v/>
      </c>
      <c r="AI14" s="29" t="n"/>
      <c r="AJ14" s="29" t="n"/>
      <c r="AK14" s="29" t="n"/>
      <c r="AL14" s="29" t="n"/>
    </row>
    <row r="15">
      <c r="A15" s="20">
        <f>IF(B15="","","TR-"&amp;TEXT(ROW()-2,"0000"))</f>
        <v/>
      </c>
      <c r="B15" s="39" t="n"/>
      <c r="C15" s="40" t="n"/>
      <c r="D15" s="40" t="n"/>
      <c r="E15" s="23" t="n"/>
      <c r="F15" s="23" t="n"/>
      <c r="G15" s="23" t="n"/>
      <c r="H15" s="23" t="n"/>
      <c r="I15" s="23" t="n"/>
      <c r="J15" s="23" t="n"/>
      <c r="K15" s="23" t="n"/>
      <c r="L15" s="41" t="n"/>
      <c r="M15" s="41" t="n"/>
      <c r="N15" s="41" t="n"/>
      <c r="O15" s="41" t="n"/>
      <c r="P15" s="41" t="n"/>
      <c r="Q15" s="41" t="n"/>
      <c r="R15" s="23" t="n"/>
      <c r="S15" s="23" t="n"/>
      <c r="T15" s="42">
        <f>IF(OR(L15="",M15=""),"",IFERROR(Settings!$B$3*Settings!$B$5,0))</f>
        <v/>
      </c>
      <c r="U15" s="42">
        <f>IF(OR(L15="",M15="",R15=""),"",ABS(L15-M15)*R15*IF(S15="",1,S15))</f>
        <v/>
      </c>
      <c r="V15" s="26">
        <f>IFERROR(ABS(N15-L15)/ABS(L15-M15),"")</f>
        <v/>
      </c>
      <c r="W15" s="23" t="n"/>
      <c r="X15" s="23" t="n"/>
      <c r="Y15" s="23" t="n"/>
      <c r="Z15" s="23" t="n"/>
      <c r="AA15" s="23" t="n"/>
      <c r="AB15" s="23" t="n"/>
      <c r="AC15" s="23" t="n"/>
      <c r="AD15" s="42">
        <f>IF(OR(L15="",Q15="",R15=""),"",IF(H15="Long",(Q15-L15)*R15*IF(S15="",1,S15),(L15-Q15)*R15*IF(S15="",1,S15)))</f>
        <v/>
      </c>
      <c r="AE15" s="41" t="n"/>
      <c r="AF15" s="41" t="n"/>
      <c r="AG15" s="42">
        <f>IF(AD15="","",AD15-IF(AE15="",0,AE15)-IF(AF15="",0,AF15))</f>
        <v/>
      </c>
      <c r="AH15" s="26">
        <f>IFERROR(AG15/U15,"")</f>
        <v/>
      </c>
      <c r="AI15" s="23" t="n"/>
      <c r="AJ15" s="23" t="n"/>
      <c r="AK15" s="23" t="n"/>
      <c r="AL15" s="23" t="n"/>
    </row>
    <row r="16">
      <c r="A16" s="20">
        <f>IF(B16="","","TR-"&amp;TEXT(ROW()-2,"0000"))</f>
        <v/>
      </c>
      <c r="B16" s="43" t="n"/>
      <c r="C16" s="44" t="n"/>
      <c r="D16" s="44" t="n"/>
      <c r="E16" s="29" t="n"/>
      <c r="F16" s="29" t="n"/>
      <c r="G16" s="29" t="n"/>
      <c r="H16" s="29" t="n"/>
      <c r="I16" s="29" t="n"/>
      <c r="J16" s="29" t="n"/>
      <c r="K16" s="29" t="n"/>
      <c r="L16" s="45" t="n"/>
      <c r="M16" s="45" t="n"/>
      <c r="N16" s="45" t="n"/>
      <c r="O16" s="45" t="n"/>
      <c r="P16" s="45" t="n"/>
      <c r="Q16" s="45" t="n"/>
      <c r="R16" s="29" t="n"/>
      <c r="S16" s="29" t="n"/>
      <c r="T16" s="42">
        <f>IF(OR(L16="",M16=""),"",IFERROR(Settings!$B$3*Settings!$B$5,0))</f>
        <v/>
      </c>
      <c r="U16" s="42">
        <f>IF(OR(L16="",M16="",R16=""),"",ABS(L16-M16)*R16*IF(S16="",1,S16))</f>
        <v/>
      </c>
      <c r="V16" s="26">
        <f>IFERROR(ABS(N16-L16)/ABS(L16-M16),"")</f>
        <v/>
      </c>
      <c r="W16" s="29" t="n"/>
      <c r="X16" s="29" t="n"/>
      <c r="Y16" s="29" t="n"/>
      <c r="Z16" s="29" t="n"/>
      <c r="AA16" s="29" t="n"/>
      <c r="AB16" s="29" t="n"/>
      <c r="AC16" s="29" t="n"/>
      <c r="AD16" s="42">
        <f>IF(OR(L16="",Q16="",R16=""),"",IF(H16="Long",(Q16-L16)*R16*IF(S16="",1,S16),(L16-Q16)*R16*IF(S16="",1,S16)))</f>
        <v/>
      </c>
      <c r="AE16" s="45" t="n"/>
      <c r="AF16" s="45" t="n"/>
      <c r="AG16" s="42">
        <f>IF(AD16="","",AD16-IF(AE16="",0,AE16)-IF(AF16="",0,AF16))</f>
        <v/>
      </c>
      <c r="AH16" s="26">
        <f>IFERROR(AG16/U16,"")</f>
        <v/>
      </c>
      <c r="AI16" s="29" t="n"/>
      <c r="AJ16" s="29" t="n"/>
      <c r="AK16" s="29" t="n"/>
      <c r="AL16" s="29" t="n"/>
    </row>
    <row r="17">
      <c r="A17" s="20">
        <f>IF(B17="","","TR-"&amp;TEXT(ROW()-2,"0000"))</f>
        <v/>
      </c>
      <c r="B17" s="39" t="n"/>
      <c r="C17" s="40" t="n"/>
      <c r="D17" s="40" t="n"/>
      <c r="E17" s="23" t="n"/>
      <c r="F17" s="23" t="n"/>
      <c r="G17" s="23" t="n"/>
      <c r="H17" s="23" t="n"/>
      <c r="I17" s="23" t="n"/>
      <c r="J17" s="23" t="n"/>
      <c r="K17" s="23" t="n"/>
      <c r="L17" s="41" t="n"/>
      <c r="M17" s="41" t="n"/>
      <c r="N17" s="41" t="n"/>
      <c r="O17" s="41" t="n"/>
      <c r="P17" s="41" t="n"/>
      <c r="Q17" s="41" t="n"/>
      <c r="R17" s="23" t="n"/>
      <c r="S17" s="23" t="n"/>
      <c r="T17" s="42">
        <f>IF(OR(L17="",M17=""),"",IFERROR(Settings!$B$3*Settings!$B$5,0))</f>
        <v/>
      </c>
      <c r="U17" s="42">
        <f>IF(OR(L17="",M17="",R17=""),"",ABS(L17-M17)*R17*IF(S17="",1,S17))</f>
        <v/>
      </c>
      <c r="V17" s="26">
        <f>IFERROR(ABS(N17-L17)/ABS(L17-M17),"")</f>
        <v/>
      </c>
      <c r="W17" s="23" t="n"/>
      <c r="X17" s="23" t="n"/>
      <c r="Y17" s="23" t="n"/>
      <c r="Z17" s="23" t="n"/>
      <c r="AA17" s="23" t="n"/>
      <c r="AB17" s="23" t="n"/>
      <c r="AC17" s="23" t="n"/>
      <c r="AD17" s="42">
        <f>IF(OR(L17="",Q17="",R17=""),"",IF(H17="Long",(Q17-L17)*R17*IF(S17="",1,S17),(L17-Q17)*R17*IF(S17="",1,S17)))</f>
        <v/>
      </c>
      <c r="AE17" s="41" t="n"/>
      <c r="AF17" s="41" t="n"/>
      <c r="AG17" s="42">
        <f>IF(AD17="","",AD17-IF(AE17="",0,AE17)-IF(AF17="",0,AF17))</f>
        <v/>
      </c>
      <c r="AH17" s="26">
        <f>IFERROR(AG17/U17,"")</f>
        <v/>
      </c>
      <c r="AI17" s="23" t="n"/>
      <c r="AJ17" s="23" t="n"/>
      <c r="AK17" s="23" t="n"/>
      <c r="AL17" s="23" t="n"/>
    </row>
    <row r="18">
      <c r="A18" s="20">
        <f>IF(B18="","","TR-"&amp;TEXT(ROW()-2,"0000"))</f>
        <v/>
      </c>
      <c r="B18" s="43" t="n"/>
      <c r="C18" s="44" t="n"/>
      <c r="D18" s="44" t="n"/>
      <c r="E18" s="29" t="n"/>
      <c r="F18" s="29" t="n"/>
      <c r="G18" s="29" t="n"/>
      <c r="H18" s="29" t="n"/>
      <c r="I18" s="29" t="n"/>
      <c r="J18" s="29" t="n"/>
      <c r="K18" s="29" t="n"/>
      <c r="L18" s="45" t="n"/>
      <c r="M18" s="45" t="n"/>
      <c r="N18" s="45" t="n"/>
      <c r="O18" s="45" t="n"/>
      <c r="P18" s="45" t="n"/>
      <c r="Q18" s="45" t="n"/>
      <c r="R18" s="29" t="n"/>
      <c r="S18" s="29" t="n"/>
      <c r="T18" s="42">
        <f>IF(OR(L18="",M18=""),"",IFERROR(Settings!$B$3*Settings!$B$5,0))</f>
        <v/>
      </c>
      <c r="U18" s="42">
        <f>IF(OR(L18="",M18="",R18=""),"",ABS(L18-M18)*R18*IF(S18="",1,S18))</f>
        <v/>
      </c>
      <c r="V18" s="26">
        <f>IFERROR(ABS(N18-L18)/ABS(L18-M18),"")</f>
        <v/>
      </c>
      <c r="W18" s="29" t="n"/>
      <c r="X18" s="29" t="n"/>
      <c r="Y18" s="29" t="n"/>
      <c r="Z18" s="29" t="n"/>
      <c r="AA18" s="29" t="n"/>
      <c r="AB18" s="29" t="n"/>
      <c r="AC18" s="29" t="n"/>
      <c r="AD18" s="42">
        <f>IF(OR(L18="",Q18="",R18=""),"",IF(H18="Long",(Q18-L18)*R18*IF(S18="",1,S18),(L18-Q18)*R18*IF(S18="",1,S18)))</f>
        <v/>
      </c>
      <c r="AE18" s="45" t="n"/>
      <c r="AF18" s="45" t="n"/>
      <c r="AG18" s="42">
        <f>IF(AD18="","",AD18-IF(AE18="",0,AE18)-IF(AF18="",0,AF18))</f>
        <v/>
      </c>
      <c r="AH18" s="26">
        <f>IFERROR(AG18/U18,"")</f>
        <v/>
      </c>
      <c r="AI18" s="29" t="n"/>
      <c r="AJ18" s="29" t="n"/>
      <c r="AK18" s="29" t="n"/>
      <c r="AL18" s="29" t="n"/>
    </row>
    <row r="19">
      <c r="A19" s="20">
        <f>IF(B19="","","TR-"&amp;TEXT(ROW()-2,"0000"))</f>
        <v/>
      </c>
      <c r="B19" s="39" t="n"/>
      <c r="C19" s="40" t="n"/>
      <c r="D19" s="40" t="n"/>
      <c r="E19" s="23" t="n"/>
      <c r="F19" s="23" t="n"/>
      <c r="G19" s="23" t="n"/>
      <c r="H19" s="23" t="n"/>
      <c r="I19" s="23" t="n"/>
      <c r="J19" s="23" t="n"/>
      <c r="K19" s="23" t="n"/>
      <c r="L19" s="41" t="n"/>
      <c r="M19" s="41" t="n"/>
      <c r="N19" s="41" t="n"/>
      <c r="O19" s="41" t="n"/>
      <c r="P19" s="41" t="n"/>
      <c r="Q19" s="41" t="n"/>
      <c r="R19" s="23" t="n"/>
      <c r="S19" s="23" t="n"/>
      <c r="T19" s="42">
        <f>IF(OR(L19="",M19=""),"",IFERROR(Settings!$B$3*Settings!$B$5,0))</f>
        <v/>
      </c>
      <c r="U19" s="42">
        <f>IF(OR(L19="",M19="",R19=""),"",ABS(L19-M19)*R19*IF(S19="",1,S19))</f>
        <v/>
      </c>
      <c r="V19" s="26">
        <f>IFERROR(ABS(N19-L19)/ABS(L19-M19),"")</f>
        <v/>
      </c>
      <c r="W19" s="23" t="n"/>
      <c r="X19" s="23" t="n"/>
      <c r="Y19" s="23" t="n"/>
      <c r="Z19" s="23" t="n"/>
      <c r="AA19" s="23" t="n"/>
      <c r="AB19" s="23" t="n"/>
      <c r="AC19" s="23" t="n"/>
      <c r="AD19" s="42">
        <f>IF(OR(L19="",Q19="",R19=""),"",IF(H19="Long",(Q19-L19)*R19*IF(S19="",1,S19),(L19-Q19)*R19*IF(S19="",1,S19)))</f>
        <v/>
      </c>
      <c r="AE19" s="41" t="n"/>
      <c r="AF19" s="41" t="n"/>
      <c r="AG19" s="42">
        <f>IF(AD19="","",AD19-IF(AE19="",0,AE19)-IF(AF19="",0,AF19))</f>
        <v/>
      </c>
      <c r="AH19" s="26">
        <f>IFERROR(AG19/U19,"")</f>
        <v/>
      </c>
      <c r="AI19" s="23" t="n"/>
      <c r="AJ19" s="23" t="n"/>
      <c r="AK19" s="23" t="n"/>
      <c r="AL19" s="23" t="n"/>
    </row>
    <row r="20">
      <c r="A20" s="20">
        <f>IF(B20="","","TR-"&amp;TEXT(ROW()-2,"0000"))</f>
        <v/>
      </c>
      <c r="B20" s="43" t="n"/>
      <c r="C20" s="44" t="n"/>
      <c r="D20" s="44" t="n"/>
      <c r="E20" s="29" t="n"/>
      <c r="F20" s="29" t="n"/>
      <c r="G20" s="29" t="n"/>
      <c r="H20" s="29" t="n"/>
      <c r="I20" s="29" t="n"/>
      <c r="J20" s="29" t="n"/>
      <c r="K20" s="29" t="n"/>
      <c r="L20" s="45" t="n"/>
      <c r="M20" s="45" t="n"/>
      <c r="N20" s="45" t="n"/>
      <c r="O20" s="45" t="n"/>
      <c r="P20" s="45" t="n"/>
      <c r="Q20" s="45" t="n"/>
      <c r="R20" s="29" t="n"/>
      <c r="S20" s="29" t="n"/>
      <c r="T20" s="42">
        <f>IF(OR(L20="",M20=""),"",IFERROR(Settings!$B$3*Settings!$B$5,0))</f>
        <v/>
      </c>
      <c r="U20" s="42">
        <f>IF(OR(L20="",M20="",R20=""),"",ABS(L20-M20)*R20*IF(S20="",1,S20))</f>
        <v/>
      </c>
      <c r="V20" s="26">
        <f>IFERROR(ABS(N20-L20)/ABS(L20-M20),"")</f>
        <v/>
      </c>
      <c r="W20" s="29" t="n"/>
      <c r="X20" s="29" t="n"/>
      <c r="Y20" s="29" t="n"/>
      <c r="Z20" s="29" t="n"/>
      <c r="AA20" s="29" t="n"/>
      <c r="AB20" s="29" t="n"/>
      <c r="AC20" s="29" t="n"/>
      <c r="AD20" s="42">
        <f>IF(OR(L20="",Q20="",R20=""),"",IF(H20="Long",(Q20-L20)*R20*IF(S20="",1,S20),(L20-Q20)*R20*IF(S20="",1,S20)))</f>
        <v/>
      </c>
      <c r="AE20" s="45" t="n"/>
      <c r="AF20" s="45" t="n"/>
      <c r="AG20" s="42">
        <f>IF(AD20="","",AD20-IF(AE20="",0,AE20)-IF(AF20="",0,AF20))</f>
        <v/>
      </c>
      <c r="AH20" s="26">
        <f>IFERROR(AG20/U20,"")</f>
        <v/>
      </c>
      <c r="AI20" s="29" t="n"/>
      <c r="AJ20" s="29" t="n"/>
      <c r="AK20" s="29" t="n"/>
      <c r="AL20" s="29" t="n"/>
    </row>
    <row r="21">
      <c r="A21" s="20">
        <f>IF(B21="","","TR-"&amp;TEXT(ROW()-2,"0000"))</f>
        <v/>
      </c>
      <c r="B21" s="39" t="n"/>
      <c r="C21" s="40" t="n"/>
      <c r="D21" s="40" t="n"/>
      <c r="E21" s="23" t="n"/>
      <c r="F21" s="23" t="n"/>
      <c r="G21" s="23" t="n"/>
      <c r="H21" s="23" t="n"/>
      <c r="I21" s="23" t="n"/>
      <c r="J21" s="23" t="n"/>
      <c r="K21" s="23" t="n"/>
      <c r="L21" s="41" t="n"/>
      <c r="M21" s="41" t="n"/>
      <c r="N21" s="41" t="n"/>
      <c r="O21" s="41" t="n"/>
      <c r="P21" s="41" t="n"/>
      <c r="Q21" s="41" t="n"/>
      <c r="R21" s="23" t="n"/>
      <c r="S21" s="23" t="n"/>
      <c r="T21" s="42">
        <f>IF(OR(L21="",M21=""),"",IFERROR(Settings!$B$3*Settings!$B$5,0))</f>
        <v/>
      </c>
      <c r="U21" s="42">
        <f>IF(OR(L21="",M21="",R21=""),"",ABS(L21-M21)*R21*IF(S21="",1,S21))</f>
        <v/>
      </c>
      <c r="V21" s="26">
        <f>IFERROR(ABS(N21-L21)/ABS(L21-M21),"")</f>
        <v/>
      </c>
      <c r="W21" s="23" t="n"/>
      <c r="X21" s="23" t="n"/>
      <c r="Y21" s="23" t="n"/>
      <c r="Z21" s="23" t="n"/>
      <c r="AA21" s="23" t="n"/>
      <c r="AB21" s="23" t="n"/>
      <c r="AC21" s="23" t="n"/>
      <c r="AD21" s="42">
        <f>IF(OR(L21="",Q21="",R21=""),"",IF(H21="Long",(Q21-L21)*R21*IF(S21="",1,S21),(L21-Q21)*R21*IF(S21="",1,S21)))</f>
        <v/>
      </c>
      <c r="AE21" s="41" t="n"/>
      <c r="AF21" s="41" t="n"/>
      <c r="AG21" s="42">
        <f>IF(AD21="","",AD21-IF(AE21="",0,AE21)-IF(AF21="",0,AF21))</f>
        <v/>
      </c>
      <c r="AH21" s="26">
        <f>IFERROR(AG21/U21,"")</f>
        <v/>
      </c>
      <c r="AI21" s="23" t="n"/>
      <c r="AJ21" s="23" t="n"/>
      <c r="AK21" s="23" t="n"/>
      <c r="AL21" s="23" t="n"/>
    </row>
    <row r="22">
      <c r="A22" s="20">
        <f>IF(B22="","","TR-"&amp;TEXT(ROW()-2,"0000"))</f>
        <v/>
      </c>
      <c r="B22" s="43" t="n"/>
      <c r="C22" s="44" t="n"/>
      <c r="D22" s="44" t="n"/>
      <c r="E22" s="29" t="n"/>
      <c r="F22" s="29" t="n"/>
      <c r="G22" s="29" t="n"/>
      <c r="H22" s="29" t="n"/>
      <c r="I22" s="29" t="n"/>
      <c r="J22" s="29" t="n"/>
      <c r="K22" s="29" t="n"/>
      <c r="L22" s="45" t="n"/>
      <c r="M22" s="45" t="n"/>
      <c r="N22" s="45" t="n"/>
      <c r="O22" s="45" t="n"/>
      <c r="P22" s="45" t="n"/>
      <c r="Q22" s="45" t="n"/>
      <c r="R22" s="29" t="n"/>
      <c r="S22" s="29" t="n"/>
      <c r="T22" s="42">
        <f>IF(OR(L22="",M22=""),"",IFERROR(Settings!$B$3*Settings!$B$5,0))</f>
        <v/>
      </c>
      <c r="U22" s="42">
        <f>IF(OR(L22="",M22="",R22=""),"",ABS(L22-M22)*R22*IF(S22="",1,S22))</f>
        <v/>
      </c>
      <c r="V22" s="26">
        <f>IFERROR(ABS(N22-L22)/ABS(L22-M22),"")</f>
        <v/>
      </c>
      <c r="W22" s="29" t="n"/>
      <c r="X22" s="29" t="n"/>
      <c r="Y22" s="29" t="n"/>
      <c r="Z22" s="29" t="n"/>
      <c r="AA22" s="29" t="n"/>
      <c r="AB22" s="29" t="n"/>
      <c r="AC22" s="29" t="n"/>
      <c r="AD22" s="42">
        <f>IF(OR(L22="",Q22="",R22=""),"",IF(H22="Long",(Q22-L22)*R22*IF(S22="",1,S22),(L22-Q22)*R22*IF(S22="",1,S22)))</f>
        <v/>
      </c>
      <c r="AE22" s="45" t="n"/>
      <c r="AF22" s="45" t="n"/>
      <c r="AG22" s="42">
        <f>IF(AD22="","",AD22-IF(AE22="",0,AE22)-IF(AF22="",0,AF22))</f>
        <v/>
      </c>
      <c r="AH22" s="26">
        <f>IFERROR(AG22/U22,"")</f>
        <v/>
      </c>
      <c r="AI22" s="29" t="n"/>
      <c r="AJ22" s="29" t="n"/>
      <c r="AK22" s="29" t="n"/>
      <c r="AL22" s="29" t="n"/>
    </row>
    <row r="23">
      <c r="A23" s="20">
        <f>IF(B23="","","TR-"&amp;TEXT(ROW()-2,"0000"))</f>
        <v/>
      </c>
      <c r="B23" s="39" t="n"/>
      <c r="C23" s="40" t="n"/>
      <c r="D23" s="40" t="n"/>
      <c r="E23" s="23" t="n"/>
      <c r="F23" s="23" t="n"/>
      <c r="G23" s="23" t="n"/>
      <c r="H23" s="23" t="n"/>
      <c r="I23" s="23" t="n"/>
      <c r="J23" s="23" t="n"/>
      <c r="K23" s="23" t="n"/>
      <c r="L23" s="41" t="n"/>
      <c r="M23" s="41" t="n"/>
      <c r="N23" s="41" t="n"/>
      <c r="O23" s="41" t="n"/>
      <c r="P23" s="41" t="n"/>
      <c r="Q23" s="41" t="n"/>
      <c r="R23" s="23" t="n"/>
      <c r="S23" s="23" t="n"/>
      <c r="T23" s="42">
        <f>IF(OR(L23="",M23=""),"",IFERROR(Settings!$B$3*Settings!$B$5,0))</f>
        <v/>
      </c>
      <c r="U23" s="42">
        <f>IF(OR(L23="",M23="",R23=""),"",ABS(L23-M23)*R23*IF(S23="",1,S23))</f>
        <v/>
      </c>
      <c r="V23" s="26">
        <f>IFERROR(ABS(N23-L23)/ABS(L23-M23),"")</f>
        <v/>
      </c>
      <c r="W23" s="23" t="n"/>
      <c r="X23" s="23" t="n"/>
      <c r="Y23" s="23" t="n"/>
      <c r="Z23" s="23" t="n"/>
      <c r="AA23" s="23" t="n"/>
      <c r="AB23" s="23" t="n"/>
      <c r="AC23" s="23" t="n"/>
      <c r="AD23" s="42">
        <f>IF(OR(L23="",Q23="",R23=""),"",IF(H23="Long",(Q23-L23)*R23*IF(S23="",1,S23),(L23-Q23)*R23*IF(S23="",1,S23)))</f>
        <v/>
      </c>
      <c r="AE23" s="41" t="n"/>
      <c r="AF23" s="41" t="n"/>
      <c r="AG23" s="42">
        <f>IF(AD23="","",AD23-IF(AE23="",0,AE23)-IF(AF23="",0,AF23))</f>
        <v/>
      </c>
      <c r="AH23" s="26">
        <f>IFERROR(AG23/U23,"")</f>
        <v/>
      </c>
      <c r="AI23" s="23" t="n"/>
      <c r="AJ23" s="23" t="n"/>
      <c r="AK23" s="23" t="n"/>
      <c r="AL23" s="23" t="n"/>
    </row>
    <row r="24">
      <c r="A24" s="20">
        <f>IF(B24="","","TR-"&amp;TEXT(ROW()-2,"0000"))</f>
        <v/>
      </c>
      <c r="B24" s="43" t="n"/>
      <c r="C24" s="44" t="n"/>
      <c r="D24" s="44" t="n"/>
      <c r="E24" s="29" t="n"/>
      <c r="F24" s="29" t="n"/>
      <c r="G24" s="29" t="n"/>
      <c r="H24" s="29" t="n"/>
      <c r="I24" s="29" t="n"/>
      <c r="J24" s="29" t="n"/>
      <c r="K24" s="29" t="n"/>
      <c r="L24" s="45" t="n"/>
      <c r="M24" s="45" t="n"/>
      <c r="N24" s="45" t="n"/>
      <c r="O24" s="45" t="n"/>
      <c r="P24" s="45" t="n"/>
      <c r="Q24" s="45" t="n"/>
      <c r="R24" s="29" t="n"/>
      <c r="S24" s="29" t="n"/>
      <c r="T24" s="42">
        <f>IF(OR(L24="",M24=""),"",IFERROR(Settings!$B$3*Settings!$B$5,0))</f>
        <v/>
      </c>
      <c r="U24" s="42">
        <f>IF(OR(L24="",M24="",R24=""),"",ABS(L24-M24)*R24*IF(S24="",1,S24))</f>
        <v/>
      </c>
      <c r="V24" s="26">
        <f>IFERROR(ABS(N24-L24)/ABS(L24-M24),"")</f>
        <v/>
      </c>
      <c r="W24" s="29" t="n"/>
      <c r="X24" s="29" t="n"/>
      <c r="Y24" s="29" t="n"/>
      <c r="Z24" s="29" t="n"/>
      <c r="AA24" s="29" t="n"/>
      <c r="AB24" s="29" t="n"/>
      <c r="AC24" s="29" t="n"/>
      <c r="AD24" s="42">
        <f>IF(OR(L24="",Q24="",R24=""),"",IF(H24="Long",(Q24-L24)*R24*IF(S24="",1,S24),(L24-Q24)*R24*IF(S24="",1,S24)))</f>
        <v/>
      </c>
      <c r="AE24" s="45" t="n"/>
      <c r="AF24" s="45" t="n"/>
      <c r="AG24" s="42">
        <f>IF(AD24="","",AD24-IF(AE24="",0,AE24)-IF(AF24="",0,AF24))</f>
        <v/>
      </c>
      <c r="AH24" s="26">
        <f>IFERROR(AG24/U24,"")</f>
        <v/>
      </c>
      <c r="AI24" s="29" t="n"/>
      <c r="AJ24" s="29" t="n"/>
      <c r="AK24" s="29" t="n"/>
      <c r="AL24" s="29" t="n"/>
    </row>
    <row r="25">
      <c r="A25" s="20">
        <f>IF(B25="","","TR-"&amp;TEXT(ROW()-2,"0000"))</f>
        <v/>
      </c>
      <c r="B25" s="39" t="n"/>
      <c r="C25" s="40" t="n"/>
      <c r="D25" s="40" t="n"/>
      <c r="E25" s="23" t="n"/>
      <c r="F25" s="23" t="n"/>
      <c r="G25" s="23" t="n"/>
      <c r="H25" s="23" t="n"/>
      <c r="I25" s="23" t="n"/>
      <c r="J25" s="23" t="n"/>
      <c r="K25" s="23" t="n"/>
      <c r="L25" s="41" t="n"/>
      <c r="M25" s="41" t="n"/>
      <c r="N25" s="41" t="n"/>
      <c r="O25" s="41" t="n"/>
      <c r="P25" s="41" t="n"/>
      <c r="Q25" s="41" t="n"/>
      <c r="R25" s="23" t="n"/>
      <c r="S25" s="23" t="n"/>
      <c r="T25" s="42">
        <f>IF(OR(L25="",M25=""),"",IFERROR(Settings!$B$3*Settings!$B$5,0))</f>
        <v/>
      </c>
      <c r="U25" s="42">
        <f>IF(OR(L25="",M25="",R25=""),"",ABS(L25-M25)*R25*IF(S25="",1,S25))</f>
        <v/>
      </c>
      <c r="V25" s="26">
        <f>IFERROR(ABS(N25-L25)/ABS(L25-M25),"")</f>
        <v/>
      </c>
      <c r="W25" s="23" t="n"/>
      <c r="X25" s="23" t="n"/>
      <c r="Y25" s="23" t="n"/>
      <c r="Z25" s="23" t="n"/>
      <c r="AA25" s="23" t="n"/>
      <c r="AB25" s="23" t="n"/>
      <c r="AC25" s="23" t="n"/>
      <c r="AD25" s="42">
        <f>IF(OR(L25="",Q25="",R25=""),"",IF(H25="Long",(Q25-L25)*R25*IF(S25="",1,S25),(L25-Q25)*R25*IF(S25="",1,S25)))</f>
        <v/>
      </c>
      <c r="AE25" s="41" t="n"/>
      <c r="AF25" s="41" t="n"/>
      <c r="AG25" s="42">
        <f>IF(AD25="","",AD25-IF(AE25="",0,AE25)-IF(AF25="",0,AF25))</f>
        <v/>
      </c>
      <c r="AH25" s="26">
        <f>IFERROR(AG25/U25,"")</f>
        <v/>
      </c>
      <c r="AI25" s="23" t="n"/>
      <c r="AJ25" s="23" t="n"/>
      <c r="AK25" s="23" t="n"/>
      <c r="AL25" s="23" t="n"/>
    </row>
    <row r="26">
      <c r="A26" s="20">
        <f>IF(B26="","","TR-"&amp;TEXT(ROW()-2,"0000"))</f>
        <v/>
      </c>
      <c r="B26" s="43" t="n"/>
      <c r="C26" s="44" t="n"/>
      <c r="D26" s="44" t="n"/>
      <c r="E26" s="29" t="n"/>
      <c r="F26" s="29" t="n"/>
      <c r="G26" s="29" t="n"/>
      <c r="H26" s="29" t="n"/>
      <c r="I26" s="29" t="n"/>
      <c r="J26" s="29" t="n"/>
      <c r="K26" s="29" t="n"/>
      <c r="L26" s="45" t="n"/>
      <c r="M26" s="45" t="n"/>
      <c r="N26" s="45" t="n"/>
      <c r="O26" s="45" t="n"/>
      <c r="P26" s="45" t="n"/>
      <c r="Q26" s="45" t="n"/>
      <c r="R26" s="29" t="n"/>
      <c r="S26" s="29" t="n"/>
      <c r="T26" s="42">
        <f>IF(OR(L26="",M26=""),"",IFERROR(Settings!$B$3*Settings!$B$5,0))</f>
        <v/>
      </c>
      <c r="U26" s="42">
        <f>IF(OR(L26="",M26="",R26=""),"",ABS(L26-M26)*R26*IF(S26="",1,S26))</f>
        <v/>
      </c>
      <c r="V26" s="26">
        <f>IFERROR(ABS(N26-L26)/ABS(L26-M26),"")</f>
        <v/>
      </c>
      <c r="W26" s="29" t="n"/>
      <c r="X26" s="29" t="n"/>
      <c r="Y26" s="29" t="n"/>
      <c r="Z26" s="29" t="n"/>
      <c r="AA26" s="29" t="n"/>
      <c r="AB26" s="29" t="n"/>
      <c r="AC26" s="29" t="n"/>
      <c r="AD26" s="42">
        <f>IF(OR(L26="",Q26="",R26=""),"",IF(H26="Long",(Q26-L26)*R26*IF(S26="",1,S26),(L26-Q26)*R26*IF(S26="",1,S26)))</f>
        <v/>
      </c>
      <c r="AE26" s="45" t="n"/>
      <c r="AF26" s="45" t="n"/>
      <c r="AG26" s="42">
        <f>IF(AD26="","",AD26-IF(AE26="",0,AE26)-IF(AF26="",0,AF26))</f>
        <v/>
      </c>
      <c r="AH26" s="26">
        <f>IFERROR(AG26/U26,"")</f>
        <v/>
      </c>
      <c r="AI26" s="29" t="n"/>
      <c r="AJ26" s="29" t="n"/>
      <c r="AK26" s="29" t="n"/>
      <c r="AL26" s="29" t="n"/>
    </row>
    <row r="27">
      <c r="A27" s="20">
        <f>IF(B27="","","TR-"&amp;TEXT(ROW()-2,"0000"))</f>
        <v/>
      </c>
      <c r="B27" s="39" t="n"/>
      <c r="C27" s="40" t="n"/>
      <c r="D27" s="40" t="n"/>
      <c r="E27" s="23" t="n"/>
      <c r="F27" s="23" t="n"/>
      <c r="G27" s="23" t="n"/>
      <c r="H27" s="23" t="n"/>
      <c r="I27" s="23" t="n"/>
      <c r="J27" s="23" t="n"/>
      <c r="K27" s="23" t="n"/>
      <c r="L27" s="41" t="n"/>
      <c r="M27" s="41" t="n"/>
      <c r="N27" s="41" t="n"/>
      <c r="O27" s="41" t="n"/>
      <c r="P27" s="41" t="n"/>
      <c r="Q27" s="41" t="n"/>
      <c r="R27" s="23" t="n"/>
      <c r="S27" s="23" t="n"/>
      <c r="T27" s="42">
        <f>IF(OR(L27="",M27=""),"",IFERROR(Settings!$B$3*Settings!$B$5,0))</f>
        <v/>
      </c>
      <c r="U27" s="42">
        <f>IF(OR(L27="",M27="",R27=""),"",ABS(L27-M27)*R27*IF(S27="",1,S27))</f>
        <v/>
      </c>
      <c r="V27" s="26">
        <f>IFERROR(ABS(N27-L27)/ABS(L27-M27),"")</f>
        <v/>
      </c>
      <c r="W27" s="23" t="n"/>
      <c r="X27" s="23" t="n"/>
      <c r="Y27" s="23" t="n"/>
      <c r="Z27" s="23" t="n"/>
      <c r="AA27" s="23" t="n"/>
      <c r="AB27" s="23" t="n"/>
      <c r="AC27" s="23" t="n"/>
      <c r="AD27" s="42">
        <f>IF(OR(L27="",Q27="",R27=""),"",IF(H27="Long",(Q27-L27)*R27*IF(S27="",1,S27),(L27-Q27)*R27*IF(S27="",1,S27)))</f>
        <v/>
      </c>
      <c r="AE27" s="41" t="n"/>
      <c r="AF27" s="41" t="n"/>
      <c r="AG27" s="42">
        <f>IF(AD27="","",AD27-IF(AE27="",0,AE27)-IF(AF27="",0,AF27))</f>
        <v/>
      </c>
      <c r="AH27" s="26">
        <f>IFERROR(AG27/U27,"")</f>
        <v/>
      </c>
      <c r="AI27" s="23" t="n"/>
      <c r="AJ27" s="23" t="n"/>
      <c r="AK27" s="23" t="n"/>
      <c r="AL27" s="23" t="n"/>
    </row>
    <row r="28">
      <c r="A28" s="20">
        <f>IF(B28="","","TR-"&amp;TEXT(ROW()-2,"0000"))</f>
        <v/>
      </c>
      <c r="B28" s="43" t="n"/>
      <c r="C28" s="44" t="n"/>
      <c r="D28" s="44" t="n"/>
      <c r="E28" s="29" t="n"/>
      <c r="F28" s="29" t="n"/>
      <c r="G28" s="29" t="n"/>
      <c r="H28" s="29" t="n"/>
      <c r="I28" s="29" t="n"/>
      <c r="J28" s="29" t="n"/>
      <c r="K28" s="29" t="n"/>
      <c r="L28" s="45" t="n"/>
      <c r="M28" s="45" t="n"/>
      <c r="N28" s="45" t="n"/>
      <c r="O28" s="45" t="n"/>
      <c r="P28" s="45" t="n"/>
      <c r="Q28" s="45" t="n"/>
      <c r="R28" s="29" t="n"/>
      <c r="S28" s="29" t="n"/>
      <c r="T28" s="42">
        <f>IF(OR(L28="",M28=""),"",IFERROR(Settings!$B$3*Settings!$B$5,0))</f>
        <v/>
      </c>
      <c r="U28" s="42">
        <f>IF(OR(L28="",M28="",R28=""),"",ABS(L28-M28)*R28*IF(S28="",1,S28))</f>
        <v/>
      </c>
      <c r="V28" s="26">
        <f>IFERROR(ABS(N28-L28)/ABS(L28-M28),"")</f>
        <v/>
      </c>
      <c r="W28" s="29" t="n"/>
      <c r="X28" s="29" t="n"/>
      <c r="Y28" s="29" t="n"/>
      <c r="Z28" s="29" t="n"/>
      <c r="AA28" s="29" t="n"/>
      <c r="AB28" s="29" t="n"/>
      <c r="AC28" s="29" t="n"/>
      <c r="AD28" s="42">
        <f>IF(OR(L28="",Q28="",R28=""),"",IF(H28="Long",(Q28-L28)*R28*IF(S28="",1,S28),(L28-Q28)*R28*IF(S28="",1,S28)))</f>
        <v/>
      </c>
      <c r="AE28" s="45" t="n"/>
      <c r="AF28" s="45" t="n"/>
      <c r="AG28" s="42">
        <f>IF(AD28="","",AD28-IF(AE28="",0,AE28)-IF(AF28="",0,AF28))</f>
        <v/>
      </c>
      <c r="AH28" s="26">
        <f>IFERROR(AG28/U28,"")</f>
        <v/>
      </c>
      <c r="AI28" s="29" t="n"/>
      <c r="AJ28" s="29" t="n"/>
      <c r="AK28" s="29" t="n"/>
      <c r="AL28" s="29" t="n"/>
    </row>
    <row r="29">
      <c r="A29" s="20">
        <f>IF(B29="","","TR-"&amp;TEXT(ROW()-2,"0000"))</f>
        <v/>
      </c>
      <c r="B29" s="39" t="n"/>
      <c r="C29" s="40" t="n"/>
      <c r="D29" s="40" t="n"/>
      <c r="E29" s="23" t="n"/>
      <c r="F29" s="23" t="n"/>
      <c r="G29" s="23" t="n"/>
      <c r="H29" s="23" t="n"/>
      <c r="I29" s="23" t="n"/>
      <c r="J29" s="23" t="n"/>
      <c r="K29" s="23" t="n"/>
      <c r="L29" s="41" t="n"/>
      <c r="M29" s="41" t="n"/>
      <c r="N29" s="41" t="n"/>
      <c r="O29" s="41" t="n"/>
      <c r="P29" s="41" t="n"/>
      <c r="Q29" s="41" t="n"/>
      <c r="R29" s="23" t="n"/>
      <c r="S29" s="23" t="n"/>
      <c r="T29" s="42">
        <f>IF(OR(L29="",M29=""),"",IFERROR(Settings!$B$3*Settings!$B$5,0))</f>
        <v/>
      </c>
      <c r="U29" s="42">
        <f>IF(OR(L29="",M29="",R29=""),"",ABS(L29-M29)*R29*IF(S29="",1,S29))</f>
        <v/>
      </c>
      <c r="V29" s="26">
        <f>IFERROR(ABS(N29-L29)/ABS(L29-M29),"")</f>
        <v/>
      </c>
      <c r="W29" s="23" t="n"/>
      <c r="X29" s="23" t="n"/>
      <c r="Y29" s="23" t="n"/>
      <c r="Z29" s="23" t="n"/>
      <c r="AA29" s="23" t="n"/>
      <c r="AB29" s="23" t="n"/>
      <c r="AC29" s="23" t="n"/>
      <c r="AD29" s="42">
        <f>IF(OR(L29="",Q29="",R29=""),"",IF(H29="Long",(Q29-L29)*R29*IF(S29="",1,S29),(L29-Q29)*R29*IF(S29="",1,S29)))</f>
        <v/>
      </c>
      <c r="AE29" s="41" t="n"/>
      <c r="AF29" s="41" t="n"/>
      <c r="AG29" s="42">
        <f>IF(AD29="","",AD29-IF(AE29="",0,AE29)-IF(AF29="",0,AF29))</f>
        <v/>
      </c>
      <c r="AH29" s="26">
        <f>IFERROR(AG29/U29,"")</f>
        <v/>
      </c>
      <c r="AI29" s="23" t="n"/>
      <c r="AJ29" s="23" t="n"/>
      <c r="AK29" s="23" t="n"/>
      <c r="AL29" s="23" t="n"/>
    </row>
    <row r="30">
      <c r="A30" s="20">
        <f>IF(B30="","","TR-"&amp;TEXT(ROW()-2,"0000"))</f>
        <v/>
      </c>
      <c r="B30" s="43" t="n"/>
      <c r="C30" s="44" t="n"/>
      <c r="D30" s="44" t="n"/>
      <c r="E30" s="29" t="n"/>
      <c r="F30" s="29" t="n"/>
      <c r="G30" s="29" t="n"/>
      <c r="H30" s="29" t="n"/>
      <c r="I30" s="29" t="n"/>
      <c r="J30" s="29" t="n"/>
      <c r="K30" s="29" t="n"/>
      <c r="L30" s="45" t="n"/>
      <c r="M30" s="45" t="n"/>
      <c r="N30" s="45" t="n"/>
      <c r="O30" s="45" t="n"/>
      <c r="P30" s="45" t="n"/>
      <c r="Q30" s="45" t="n"/>
      <c r="R30" s="29" t="n"/>
      <c r="S30" s="29" t="n"/>
      <c r="T30" s="42">
        <f>IF(OR(L30="",M30=""),"",IFERROR(Settings!$B$3*Settings!$B$5,0))</f>
        <v/>
      </c>
      <c r="U30" s="42">
        <f>IF(OR(L30="",M30="",R30=""),"",ABS(L30-M30)*R30*IF(S30="",1,S30))</f>
        <v/>
      </c>
      <c r="V30" s="26">
        <f>IFERROR(ABS(N30-L30)/ABS(L30-M30),"")</f>
        <v/>
      </c>
      <c r="W30" s="29" t="n"/>
      <c r="X30" s="29" t="n"/>
      <c r="Y30" s="29" t="n"/>
      <c r="Z30" s="29" t="n"/>
      <c r="AA30" s="29" t="n"/>
      <c r="AB30" s="29" t="n"/>
      <c r="AC30" s="29" t="n"/>
      <c r="AD30" s="42">
        <f>IF(OR(L30="",Q30="",R30=""),"",IF(H30="Long",(Q30-L30)*R30*IF(S30="",1,S30),(L30-Q30)*R30*IF(S30="",1,S30)))</f>
        <v/>
      </c>
      <c r="AE30" s="45" t="n"/>
      <c r="AF30" s="45" t="n"/>
      <c r="AG30" s="42">
        <f>IF(AD30="","",AD30-IF(AE30="",0,AE30)-IF(AF30="",0,AF30))</f>
        <v/>
      </c>
      <c r="AH30" s="26">
        <f>IFERROR(AG30/U30,"")</f>
        <v/>
      </c>
      <c r="AI30" s="29" t="n"/>
      <c r="AJ30" s="29" t="n"/>
      <c r="AK30" s="29" t="n"/>
      <c r="AL30" s="29" t="n"/>
    </row>
    <row r="31">
      <c r="A31" s="20">
        <f>IF(B31="","","TR-"&amp;TEXT(ROW()-2,"0000"))</f>
        <v/>
      </c>
      <c r="B31" s="39" t="n"/>
      <c r="C31" s="40" t="n"/>
      <c r="D31" s="40" t="n"/>
      <c r="E31" s="23" t="n"/>
      <c r="F31" s="23" t="n"/>
      <c r="G31" s="23" t="n"/>
      <c r="H31" s="23" t="n"/>
      <c r="I31" s="23" t="n"/>
      <c r="J31" s="23" t="n"/>
      <c r="K31" s="23" t="n"/>
      <c r="L31" s="41" t="n"/>
      <c r="M31" s="41" t="n"/>
      <c r="N31" s="41" t="n"/>
      <c r="O31" s="41" t="n"/>
      <c r="P31" s="41" t="n"/>
      <c r="Q31" s="41" t="n"/>
      <c r="R31" s="23" t="n"/>
      <c r="S31" s="23" t="n"/>
      <c r="T31" s="42">
        <f>IF(OR(L31="",M31=""),"",IFERROR(Settings!$B$3*Settings!$B$5,0))</f>
        <v/>
      </c>
      <c r="U31" s="42">
        <f>IF(OR(L31="",M31="",R31=""),"",ABS(L31-M31)*R31*IF(S31="",1,S31))</f>
        <v/>
      </c>
      <c r="V31" s="26">
        <f>IFERROR(ABS(N31-L31)/ABS(L31-M31),"")</f>
        <v/>
      </c>
      <c r="W31" s="23" t="n"/>
      <c r="X31" s="23" t="n"/>
      <c r="Y31" s="23" t="n"/>
      <c r="Z31" s="23" t="n"/>
      <c r="AA31" s="23" t="n"/>
      <c r="AB31" s="23" t="n"/>
      <c r="AC31" s="23" t="n"/>
      <c r="AD31" s="42">
        <f>IF(OR(L31="",Q31="",R31=""),"",IF(H31="Long",(Q31-L31)*R31*IF(S31="",1,S31),(L31-Q31)*R31*IF(S31="",1,S31)))</f>
        <v/>
      </c>
      <c r="AE31" s="41" t="n"/>
      <c r="AF31" s="41" t="n"/>
      <c r="AG31" s="42">
        <f>IF(AD31="","",AD31-IF(AE31="",0,AE31)-IF(AF31="",0,AF31))</f>
        <v/>
      </c>
      <c r="AH31" s="26">
        <f>IFERROR(AG31/U31,"")</f>
        <v/>
      </c>
      <c r="AI31" s="23" t="n"/>
      <c r="AJ31" s="23" t="n"/>
      <c r="AK31" s="23" t="n"/>
      <c r="AL31" s="23" t="n"/>
    </row>
    <row r="32">
      <c r="A32" s="20">
        <f>IF(B32="","","TR-"&amp;TEXT(ROW()-2,"0000"))</f>
        <v/>
      </c>
      <c r="B32" s="43" t="n"/>
      <c r="C32" s="44" t="n"/>
      <c r="D32" s="44" t="n"/>
      <c r="E32" s="29" t="n"/>
      <c r="F32" s="29" t="n"/>
      <c r="G32" s="29" t="n"/>
      <c r="H32" s="29" t="n"/>
      <c r="I32" s="29" t="n"/>
      <c r="J32" s="29" t="n"/>
      <c r="K32" s="29" t="n"/>
      <c r="L32" s="45" t="n"/>
      <c r="M32" s="45" t="n"/>
      <c r="N32" s="45" t="n"/>
      <c r="O32" s="45" t="n"/>
      <c r="P32" s="45" t="n"/>
      <c r="Q32" s="45" t="n"/>
      <c r="R32" s="29" t="n"/>
      <c r="S32" s="29" t="n"/>
      <c r="T32" s="42">
        <f>IF(OR(L32="",M32=""),"",IFERROR(Settings!$B$3*Settings!$B$5,0))</f>
        <v/>
      </c>
      <c r="U32" s="42">
        <f>IF(OR(L32="",M32="",R32=""),"",ABS(L32-M32)*R32*IF(S32="",1,S32))</f>
        <v/>
      </c>
      <c r="V32" s="26">
        <f>IFERROR(ABS(N32-L32)/ABS(L32-M32),"")</f>
        <v/>
      </c>
      <c r="W32" s="29" t="n"/>
      <c r="X32" s="29" t="n"/>
      <c r="Y32" s="29" t="n"/>
      <c r="Z32" s="29" t="n"/>
      <c r="AA32" s="29" t="n"/>
      <c r="AB32" s="29" t="n"/>
      <c r="AC32" s="29" t="n"/>
      <c r="AD32" s="42">
        <f>IF(OR(L32="",Q32="",R32=""),"",IF(H32="Long",(Q32-L32)*R32*IF(S32="",1,S32),(L32-Q32)*R32*IF(S32="",1,S32)))</f>
        <v/>
      </c>
      <c r="AE32" s="45" t="n"/>
      <c r="AF32" s="45" t="n"/>
      <c r="AG32" s="42">
        <f>IF(AD32="","",AD32-IF(AE32="",0,AE32)-IF(AF32="",0,AF32))</f>
        <v/>
      </c>
      <c r="AH32" s="26">
        <f>IFERROR(AG32/U32,"")</f>
        <v/>
      </c>
      <c r="AI32" s="29" t="n"/>
      <c r="AJ32" s="29" t="n"/>
      <c r="AK32" s="29" t="n"/>
      <c r="AL32" s="29" t="n"/>
    </row>
    <row r="33">
      <c r="A33" s="20">
        <f>IF(B33="","","TR-"&amp;TEXT(ROW()-2,"0000"))</f>
        <v/>
      </c>
      <c r="B33" s="39" t="n"/>
      <c r="C33" s="40" t="n"/>
      <c r="D33" s="40" t="n"/>
      <c r="E33" s="23" t="n"/>
      <c r="F33" s="23" t="n"/>
      <c r="G33" s="23" t="n"/>
      <c r="H33" s="23" t="n"/>
      <c r="I33" s="23" t="n"/>
      <c r="J33" s="23" t="n"/>
      <c r="K33" s="23" t="n"/>
      <c r="L33" s="41" t="n"/>
      <c r="M33" s="41" t="n"/>
      <c r="N33" s="41" t="n"/>
      <c r="O33" s="41" t="n"/>
      <c r="P33" s="41" t="n"/>
      <c r="Q33" s="41" t="n"/>
      <c r="R33" s="23" t="n"/>
      <c r="S33" s="23" t="n"/>
      <c r="T33" s="42">
        <f>IF(OR(L33="",M33=""),"",IFERROR(Settings!$B$3*Settings!$B$5,0))</f>
        <v/>
      </c>
      <c r="U33" s="42">
        <f>IF(OR(L33="",M33="",R33=""),"",ABS(L33-M33)*R33*IF(S33="",1,S33))</f>
        <v/>
      </c>
      <c r="V33" s="26">
        <f>IFERROR(ABS(N33-L33)/ABS(L33-M33),"")</f>
        <v/>
      </c>
      <c r="W33" s="23" t="n"/>
      <c r="X33" s="23" t="n"/>
      <c r="Y33" s="23" t="n"/>
      <c r="Z33" s="23" t="n"/>
      <c r="AA33" s="23" t="n"/>
      <c r="AB33" s="23" t="n"/>
      <c r="AC33" s="23" t="n"/>
      <c r="AD33" s="42">
        <f>IF(OR(L33="",Q33="",R33=""),"",IF(H33="Long",(Q33-L33)*R33*IF(S33="",1,S33),(L33-Q33)*R33*IF(S33="",1,S33)))</f>
        <v/>
      </c>
      <c r="AE33" s="41" t="n"/>
      <c r="AF33" s="41" t="n"/>
      <c r="AG33" s="42">
        <f>IF(AD33="","",AD33-IF(AE33="",0,AE33)-IF(AF33="",0,AF33))</f>
        <v/>
      </c>
      <c r="AH33" s="26">
        <f>IFERROR(AG33/U33,"")</f>
        <v/>
      </c>
      <c r="AI33" s="23" t="n"/>
      <c r="AJ33" s="23" t="n"/>
      <c r="AK33" s="23" t="n"/>
      <c r="AL33" s="23" t="n"/>
    </row>
    <row r="34">
      <c r="A34" s="20">
        <f>IF(B34="","","TR-"&amp;TEXT(ROW()-2,"0000"))</f>
        <v/>
      </c>
      <c r="B34" s="43" t="n"/>
      <c r="C34" s="44" t="n"/>
      <c r="D34" s="44" t="n"/>
      <c r="E34" s="29" t="n"/>
      <c r="F34" s="29" t="n"/>
      <c r="G34" s="29" t="n"/>
      <c r="H34" s="29" t="n"/>
      <c r="I34" s="29" t="n"/>
      <c r="J34" s="29" t="n"/>
      <c r="K34" s="29" t="n"/>
      <c r="L34" s="45" t="n"/>
      <c r="M34" s="45" t="n"/>
      <c r="N34" s="45" t="n"/>
      <c r="O34" s="45" t="n"/>
      <c r="P34" s="45" t="n"/>
      <c r="Q34" s="45" t="n"/>
      <c r="R34" s="29" t="n"/>
      <c r="S34" s="29" t="n"/>
      <c r="T34" s="42">
        <f>IF(OR(L34="",M34=""),"",IFERROR(Settings!$B$3*Settings!$B$5,0))</f>
        <v/>
      </c>
      <c r="U34" s="42">
        <f>IF(OR(L34="",M34="",R34=""),"",ABS(L34-M34)*R34*IF(S34="",1,S34))</f>
        <v/>
      </c>
      <c r="V34" s="26">
        <f>IFERROR(ABS(N34-L34)/ABS(L34-M34),"")</f>
        <v/>
      </c>
      <c r="W34" s="29" t="n"/>
      <c r="X34" s="29" t="n"/>
      <c r="Y34" s="29" t="n"/>
      <c r="Z34" s="29" t="n"/>
      <c r="AA34" s="29" t="n"/>
      <c r="AB34" s="29" t="n"/>
      <c r="AC34" s="29" t="n"/>
      <c r="AD34" s="42">
        <f>IF(OR(L34="",Q34="",R34=""),"",IF(H34="Long",(Q34-L34)*R34*IF(S34="",1,S34),(L34-Q34)*R34*IF(S34="",1,S34)))</f>
        <v/>
      </c>
      <c r="AE34" s="45" t="n"/>
      <c r="AF34" s="45" t="n"/>
      <c r="AG34" s="42">
        <f>IF(AD34="","",AD34-IF(AE34="",0,AE34)-IF(AF34="",0,AF34))</f>
        <v/>
      </c>
      <c r="AH34" s="26">
        <f>IFERROR(AG34/U34,"")</f>
        <v/>
      </c>
      <c r="AI34" s="29" t="n"/>
      <c r="AJ34" s="29" t="n"/>
      <c r="AK34" s="29" t="n"/>
      <c r="AL34" s="29" t="n"/>
    </row>
    <row r="35">
      <c r="A35" s="20">
        <f>IF(B35="","","TR-"&amp;TEXT(ROW()-2,"0000"))</f>
        <v/>
      </c>
      <c r="B35" s="39" t="n"/>
      <c r="C35" s="40" t="n"/>
      <c r="D35" s="40" t="n"/>
      <c r="E35" s="23" t="n"/>
      <c r="F35" s="23" t="n"/>
      <c r="G35" s="23" t="n"/>
      <c r="H35" s="23" t="n"/>
      <c r="I35" s="23" t="n"/>
      <c r="J35" s="23" t="n"/>
      <c r="K35" s="23" t="n"/>
      <c r="L35" s="41" t="n"/>
      <c r="M35" s="41" t="n"/>
      <c r="N35" s="41" t="n"/>
      <c r="O35" s="41" t="n"/>
      <c r="P35" s="41" t="n"/>
      <c r="Q35" s="41" t="n"/>
      <c r="R35" s="23" t="n"/>
      <c r="S35" s="23" t="n"/>
      <c r="T35" s="42">
        <f>IF(OR(L35="",M35=""),"",IFERROR(Settings!$B$3*Settings!$B$5,0))</f>
        <v/>
      </c>
      <c r="U35" s="42">
        <f>IF(OR(L35="",M35="",R35=""),"",ABS(L35-M35)*R35*IF(S35="",1,S35))</f>
        <v/>
      </c>
      <c r="V35" s="26">
        <f>IFERROR(ABS(N35-L35)/ABS(L35-M35),"")</f>
        <v/>
      </c>
      <c r="W35" s="23" t="n"/>
      <c r="X35" s="23" t="n"/>
      <c r="Y35" s="23" t="n"/>
      <c r="Z35" s="23" t="n"/>
      <c r="AA35" s="23" t="n"/>
      <c r="AB35" s="23" t="n"/>
      <c r="AC35" s="23" t="n"/>
      <c r="AD35" s="42">
        <f>IF(OR(L35="",Q35="",R35=""),"",IF(H35="Long",(Q35-L35)*R35*IF(S35="",1,S35),(L35-Q35)*R35*IF(S35="",1,S35)))</f>
        <v/>
      </c>
      <c r="AE35" s="41" t="n"/>
      <c r="AF35" s="41" t="n"/>
      <c r="AG35" s="42">
        <f>IF(AD35="","",AD35-IF(AE35="",0,AE35)-IF(AF35="",0,AF35))</f>
        <v/>
      </c>
      <c r="AH35" s="26">
        <f>IFERROR(AG35/U35,"")</f>
        <v/>
      </c>
      <c r="AI35" s="23" t="n"/>
      <c r="AJ35" s="23" t="n"/>
      <c r="AK35" s="23" t="n"/>
      <c r="AL35" s="23" t="n"/>
    </row>
    <row r="36">
      <c r="A36" s="20">
        <f>IF(B36="","","TR-"&amp;TEXT(ROW()-2,"0000"))</f>
        <v/>
      </c>
      <c r="B36" s="43" t="n"/>
      <c r="C36" s="44" t="n"/>
      <c r="D36" s="44" t="n"/>
      <c r="E36" s="29" t="n"/>
      <c r="F36" s="29" t="n"/>
      <c r="G36" s="29" t="n"/>
      <c r="H36" s="29" t="n"/>
      <c r="I36" s="29" t="n"/>
      <c r="J36" s="29" t="n"/>
      <c r="K36" s="29" t="n"/>
      <c r="L36" s="45" t="n"/>
      <c r="M36" s="45" t="n"/>
      <c r="N36" s="45" t="n"/>
      <c r="O36" s="45" t="n"/>
      <c r="P36" s="45" t="n"/>
      <c r="Q36" s="45" t="n"/>
      <c r="R36" s="29" t="n"/>
      <c r="S36" s="29" t="n"/>
      <c r="T36" s="42">
        <f>IF(OR(L36="",M36=""),"",IFERROR(Settings!$B$3*Settings!$B$5,0))</f>
        <v/>
      </c>
      <c r="U36" s="42">
        <f>IF(OR(L36="",M36="",R36=""),"",ABS(L36-M36)*R36*IF(S36="",1,S36))</f>
        <v/>
      </c>
      <c r="V36" s="26">
        <f>IFERROR(ABS(N36-L36)/ABS(L36-M36),"")</f>
        <v/>
      </c>
      <c r="W36" s="29" t="n"/>
      <c r="X36" s="29" t="n"/>
      <c r="Y36" s="29" t="n"/>
      <c r="Z36" s="29" t="n"/>
      <c r="AA36" s="29" t="n"/>
      <c r="AB36" s="29" t="n"/>
      <c r="AC36" s="29" t="n"/>
      <c r="AD36" s="42">
        <f>IF(OR(L36="",Q36="",R36=""),"",IF(H36="Long",(Q36-L36)*R36*IF(S36="",1,S36),(L36-Q36)*R36*IF(S36="",1,S36)))</f>
        <v/>
      </c>
      <c r="AE36" s="45" t="n"/>
      <c r="AF36" s="45" t="n"/>
      <c r="AG36" s="42">
        <f>IF(AD36="","",AD36-IF(AE36="",0,AE36)-IF(AF36="",0,AF36))</f>
        <v/>
      </c>
      <c r="AH36" s="26">
        <f>IFERROR(AG36/U36,"")</f>
        <v/>
      </c>
      <c r="AI36" s="29" t="n"/>
      <c r="AJ36" s="29" t="n"/>
      <c r="AK36" s="29" t="n"/>
      <c r="AL36" s="29" t="n"/>
    </row>
    <row r="37">
      <c r="A37" s="20">
        <f>IF(B37="","","TR-"&amp;TEXT(ROW()-2,"0000"))</f>
        <v/>
      </c>
      <c r="B37" s="39" t="n"/>
      <c r="C37" s="40" t="n"/>
      <c r="D37" s="40" t="n"/>
      <c r="E37" s="23" t="n"/>
      <c r="F37" s="23" t="n"/>
      <c r="G37" s="23" t="n"/>
      <c r="H37" s="23" t="n"/>
      <c r="I37" s="23" t="n"/>
      <c r="J37" s="23" t="n"/>
      <c r="K37" s="23" t="n"/>
      <c r="L37" s="41" t="n"/>
      <c r="M37" s="41" t="n"/>
      <c r="N37" s="41" t="n"/>
      <c r="O37" s="41" t="n"/>
      <c r="P37" s="41" t="n"/>
      <c r="Q37" s="41" t="n"/>
      <c r="R37" s="23" t="n"/>
      <c r="S37" s="23" t="n"/>
      <c r="T37" s="42">
        <f>IF(OR(L37="",M37=""),"",IFERROR(Settings!$B$3*Settings!$B$5,0))</f>
        <v/>
      </c>
      <c r="U37" s="42">
        <f>IF(OR(L37="",M37="",R37=""),"",ABS(L37-M37)*R37*IF(S37="",1,S37))</f>
        <v/>
      </c>
      <c r="V37" s="26">
        <f>IFERROR(ABS(N37-L37)/ABS(L37-M37),"")</f>
        <v/>
      </c>
      <c r="W37" s="23" t="n"/>
      <c r="X37" s="23" t="n"/>
      <c r="Y37" s="23" t="n"/>
      <c r="Z37" s="23" t="n"/>
      <c r="AA37" s="23" t="n"/>
      <c r="AB37" s="23" t="n"/>
      <c r="AC37" s="23" t="n"/>
      <c r="AD37" s="42">
        <f>IF(OR(L37="",Q37="",R37=""),"",IF(H37="Long",(Q37-L37)*R37*IF(S37="",1,S37),(L37-Q37)*R37*IF(S37="",1,S37)))</f>
        <v/>
      </c>
      <c r="AE37" s="41" t="n"/>
      <c r="AF37" s="41" t="n"/>
      <c r="AG37" s="42">
        <f>IF(AD37="","",AD37-IF(AE37="",0,AE37)-IF(AF37="",0,AF37))</f>
        <v/>
      </c>
      <c r="AH37" s="26">
        <f>IFERROR(AG37/U37,"")</f>
        <v/>
      </c>
      <c r="AI37" s="23" t="n"/>
      <c r="AJ37" s="23" t="n"/>
      <c r="AK37" s="23" t="n"/>
      <c r="AL37" s="23" t="n"/>
    </row>
    <row r="38">
      <c r="A38" s="20">
        <f>IF(B38="","","TR-"&amp;TEXT(ROW()-2,"0000"))</f>
        <v/>
      </c>
      <c r="B38" s="43" t="n"/>
      <c r="C38" s="44" t="n"/>
      <c r="D38" s="44" t="n"/>
      <c r="E38" s="29" t="n"/>
      <c r="F38" s="29" t="n"/>
      <c r="G38" s="29" t="n"/>
      <c r="H38" s="29" t="n"/>
      <c r="I38" s="29" t="n"/>
      <c r="J38" s="29" t="n"/>
      <c r="K38" s="29" t="n"/>
      <c r="L38" s="45" t="n"/>
      <c r="M38" s="45" t="n"/>
      <c r="N38" s="45" t="n"/>
      <c r="O38" s="45" t="n"/>
      <c r="P38" s="45" t="n"/>
      <c r="Q38" s="45" t="n"/>
      <c r="R38" s="29" t="n"/>
      <c r="S38" s="29" t="n"/>
      <c r="T38" s="42">
        <f>IF(OR(L38="",M38=""),"",IFERROR(Settings!$B$3*Settings!$B$5,0))</f>
        <v/>
      </c>
      <c r="U38" s="42">
        <f>IF(OR(L38="",M38="",R38=""),"",ABS(L38-M38)*R38*IF(S38="",1,S38))</f>
        <v/>
      </c>
      <c r="V38" s="26">
        <f>IFERROR(ABS(N38-L38)/ABS(L38-M38),"")</f>
        <v/>
      </c>
      <c r="W38" s="29" t="n"/>
      <c r="X38" s="29" t="n"/>
      <c r="Y38" s="29" t="n"/>
      <c r="Z38" s="29" t="n"/>
      <c r="AA38" s="29" t="n"/>
      <c r="AB38" s="29" t="n"/>
      <c r="AC38" s="29" t="n"/>
      <c r="AD38" s="42">
        <f>IF(OR(L38="",Q38="",R38=""),"",IF(H38="Long",(Q38-L38)*R38*IF(S38="",1,S38),(L38-Q38)*R38*IF(S38="",1,S38)))</f>
        <v/>
      </c>
      <c r="AE38" s="45" t="n"/>
      <c r="AF38" s="45" t="n"/>
      <c r="AG38" s="42">
        <f>IF(AD38="","",AD38-IF(AE38="",0,AE38)-IF(AF38="",0,AF38))</f>
        <v/>
      </c>
      <c r="AH38" s="26">
        <f>IFERROR(AG38/U38,"")</f>
        <v/>
      </c>
      <c r="AI38" s="29" t="n"/>
      <c r="AJ38" s="29" t="n"/>
      <c r="AK38" s="29" t="n"/>
      <c r="AL38" s="29" t="n"/>
    </row>
    <row r="39">
      <c r="A39" s="20">
        <f>IF(B39="","","TR-"&amp;TEXT(ROW()-2,"0000"))</f>
        <v/>
      </c>
      <c r="B39" s="39" t="n"/>
      <c r="C39" s="40" t="n"/>
      <c r="D39" s="40" t="n"/>
      <c r="E39" s="23" t="n"/>
      <c r="F39" s="23" t="n"/>
      <c r="G39" s="23" t="n"/>
      <c r="H39" s="23" t="n"/>
      <c r="I39" s="23" t="n"/>
      <c r="J39" s="23" t="n"/>
      <c r="K39" s="23" t="n"/>
      <c r="L39" s="41" t="n"/>
      <c r="M39" s="41" t="n"/>
      <c r="N39" s="41" t="n"/>
      <c r="O39" s="41" t="n"/>
      <c r="P39" s="41" t="n"/>
      <c r="Q39" s="41" t="n"/>
      <c r="R39" s="23" t="n"/>
      <c r="S39" s="23" t="n"/>
      <c r="T39" s="42">
        <f>IF(OR(L39="",M39=""),"",IFERROR(Settings!$B$3*Settings!$B$5,0))</f>
        <v/>
      </c>
      <c r="U39" s="42">
        <f>IF(OR(L39="",M39="",R39=""),"",ABS(L39-M39)*R39*IF(S39="",1,S39))</f>
        <v/>
      </c>
      <c r="V39" s="26">
        <f>IFERROR(ABS(N39-L39)/ABS(L39-M39),"")</f>
        <v/>
      </c>
      <c r="W39" s="23" t="n"/>
      <c r="X39" s="23" t="n"/>
      <c r="Y39" s="23" t="n"/>
      <c r="Z39" s="23" t="n"/>
      <c r="AA39" s="23" t="n"/>
      <c r="AB39" s="23" t="n"/>
      <c r="AC39" s="23" t="n"/>
      <c r="AD39" s="42">
        <f>IF(OR(L39="",Q39="",R39=""),"",IF(H39="Long",(Q39-L39)*R39*IF(S39="",1,S39),(L39-Q39)*R39*IF(S39="",1,S39)))</f>
        <v/>
      </c>
      <c r="AE39" s="41" t="n"/>
      <c r="AF39" s="41" t="n"/>
      <c r="AG39" s="42">
        <f>IF(AD39="","",AD39-IF(AE39="",0,AE39)-IF(AF39="",0,AF39))</f>
        <v/>
      </c>
      <c r="AH39" s="26">
        <f>IFERROR(AG39/U39,"")</f>
        <v/>
      </c>
      <c r="AI39" s="23" t="n"/>
      <c r="AJ39" s="23" t="n"/>
      <c r="AK39" s="23" t="n"/>
      <c r="AL39" s="23" t="n"/>
    </row>
    <row r="40">
      <c r="A40" s="20">
        <f>IF(B40="","","TR-"&amp;TEXT(ROW()-2,"0000"))</f>
        <v/>
      </c>
      <c r="B40" s="43" t="n"/>
      <c r="C40" s="44" t="n"/>
      <c r="D40" s="44" t="n"/>
      <c r="E40" s="29" t="n"/>
      <c r="F40" s="29" t="n"/>
      <c r="G40" s="29" t="n"/>
      <c r="H40" s="29" t="n"/>
      <c r="I40" s="29" t="n"/>
      <c r="J40" s="29" t="n"/>
      <c r="K40" s="29" t="n"/>
      <c r="L40" s="45" t="n"/>
      <c r="M40" s="45" t="n"/>
      <c r="N40" s="45" t="n"/>
      <c r="O40" s="45" t="n"/>
      <c r="P40" s="45" t="n"/>
      <c r="Q40" s="45" t="n"/>
      <c r="R40" s="29" t="n"/>
      <c r="S40" s="29" t="n"/>
      <c r="T40" s="42">
        <f>IF(OR(L40="",M40=""),"",IFERROR(Settings!$B$3*Settings!$B$5,0))</f>
        <v/>
      </c>
      <c r="U40" s="42">
        <f>IF(OR(L40="",M40="",R40=""),"",ABS(L40-M40)*R40*IF(S40="",1,S40))</f>
        <v/>
      </c>
      <c r="V40" s="26">
        <f>IFERROR(ABS(N40-L40)/ABS(L40-M40),"")</f>
        <v/>
      </c>
      <c r="W40" s="29" t="n"/>
      <c r="X40" s="29" t="n"/>
      <c r="Y40" s="29" t="n"/>
      <c r="Z40" s="29" t="n"/>
      <c r="AA40" s="29" t="n"/>
      <c r="AB40" s="29" t="n"/>
      <c r="AC40" s="29" t="n"/>
      <c r="AD40" s="42">
        <f>IF(OR(L40="",Q40="",R40=""),"",IF(H40="Long",(Q40-L40)*R40*IF(S40="",1,S40),(L40-Q40)*R40*IF(S40="",1,S40)))</f>
        <v/>
      </c>
      <c r="AE40" s="45" t="n"/>
      <c r="AF40" s="45" t="n"/>
      <c r="AG40" s="42">
        <f>IF(AD40="","",AD40-IF(AE40="",0,AE40)-IF(AF40="",0,AF40))</f>
        <v/>
      </c>
      <c r="AH40" s="26">
        <f>IFERROR(AG40/U40,"")</f>
        <v/>
      </c>
      <c r="AI40" s="29" t="n"/>
      <c r="AJ40" s="29" t="n"/>
      <c r="AK40" s="29" t="n"/>
      <c r="AL40" s="29" t="n"/>
    </row>
    <row r="41">
      <c r="A41" s="20">
        <f>IF(B41="","","TR-"&amp;TEXT(ROW()-2,"0000"))</f>
        <v/>
      </c>
      <c r="B41" s="39" t="n"/>
      <c r="C41" s="40" t="n"/>
      <c r="D41" s="40" t="n"/>
      <c r="E41" s="23" t="n"/>
      <c r="F41" s="23" t="n"/>
      <c r="G41" s="23" t="n"/>
      <c r="H41" s="23" t="n"/>
      <c r="I41" s="23" t="n"/>
      <c r="J41" s="23" t="n"/>
      <c r="K41" s="23" t="n"/>
      <c r="L41" s="41" t="n"/>
      <c r="M41" s="41" t="n"/>
      <c r="N41" s="41" t="n"/>
      <c r="O41" s="41" t="n"/>
      <c r="P41" s="41" t="n"/>
      <c r="Q41" s="41" t="n"/>
      <c r="R41" s="23" t="n"/>
      <c r="S41" s="23" t="n"/>
      <c r="T41" s="42">
        <f>IF(OR(L41="",M41=""),"",IFERROR(Settings!$B$3*Settings!$B$5,0))</f>
        <v/>
      </c>
      <c r="U41" s="42">
        <f>IF(OR(L41="",M41="",R41=""),"",ABS(L41-M41)*R41*IF(S41="",1,S41))</f>
        <v/>
      </c>
      <c r="V41" s="26">
        <f>IFERROR(ABS(N41-L41)/ABS(L41-M41),"")</f>
        <v/>
      </c>
      <c r="W41" s="23" t="n"/>
      <c r="X41" s="23" t="n"/>
      <c r="Y41" s="23" t="n"/>
      <c r="Z41" s="23" t="n"/>
      <c r="AA41" s="23" t="n"/>
      <c r="AB41" s="23" t="n"/>
      <c r="AC41" s="23" t="n"/>
      <c r="AD41" s="42">
        <f>IF(OR(L41="",Q41="",R41=""),"",IF(H41="Long",(Q41-L41)*R41*IF(S41="",1,S41),(L41-Q41)*R41*IF(S41="",1,S41)))</f>
        <v/>
      </c>
      <c r="AE41" s="41" t="n"/>
      <c r="AF41" s="41" t="n"/>
      <c r="AG41" s="42">
        <f>IF(AD41="","",AD41-IF(AE41="",0,AE41)-IF(AF41="",0,AF41))</f>
        <v/>
      </c>
      <c r="AH41" s="26">
        <f>IFERROR(AG41/U41,"")</f>
        <v/>
      </c>
      <c r="AI41" s="23" t="n"/>
      <c r="AJ41" s="23" t="n"/>
      <c r="AK41" s="23" t="n"/>
      <c r="AL41" s="23" t="n"/>
    </row>
    <row r="42">
      <c r="A42" s="20">
        <f>IF(B42="","","TR-"&amp;TEXT(ROW()-2,"0000"))</f>
        <v/>
      </c>
      <c r="B42" s="43" t="n"/>
      <c r="C42" s="44" t="n"/>
      <c r="D42" s="44" t="n"/>
      <c r="E42" s="29" t="n"/>
      <c r="F42" s="29" t="n"/>
      <c r="G42" s="29" t="n"/>
      <c r="H42" s="29" t="n"/>
      <c r="I42" s="29" t="n"/>
      <c r="J42" s="29" t="n"/>
      <c r="K42" s="29" t="n"/>
      <c r="L42" s="45" t="n"/>
      <c r="M42" s="45" t="n"/>
      <c r="N42" s="45" t="n"/>
      <c r="O42" s="45" t="n"/>
      <c r="P42" s="45" t="n"/>
      <c r="Q42" s="45" t="n"/>
      <c r="R42" s="29" t="n"/>
      <c r="S42" s="29" t="n"/>
      <c r="T42" s="42">
        <f>IF(OR(L42="",M42=""),"",IFERROR(Settings!$B$3*Settings!$B$5,0))</f>
        <v/>
      </c>
      <c r="U42" s="42">
        <f>IF(OR(L42="",M42="",R42=""),"",ABS(L42-M42)*R42*IF(S42="",1,S42))</f>
        <v/>
      </c>
      <c r="V42" s="26">
        <f>IFERROR(ABS(N42-L42)/ABS(L42-M42),"")</f>
        <v/>
      </c>
      <c r="W42" s="29" t="n"/>
      <c r="X42" s="29" t="n"/>
      <c r="Y42" s="29" t="n"/>
      <c r="Z42" s="29" t="n"/>
      <c r="AA42" s="29" t="n"/>
      <c r="AB42" s="29" t="n"/>
      <c r="AC42" s="29" t="n"/>
      <c r="AD42" s="42">
        <f>IF(OR(L42="",Q42="",R42=""),"",IF(H42="Long",(Q42-L42)*R42*IF(S42="",1,S42),(L42-Q42)*R42*IF(S42="",1,S42)))</f>
        <v/>
      </c>
      <c r="AE42" s="45" t="n"/>
      <c r="AF42" s="45" t="n"/>
      <c r="AG42" s="42">
        <f>IF(AD42="","",AD42-IF(AE42="",0,AE42)-IF(AF42="",0,AF42))</f>
        <v/>
      </c>
      <c r="AH42" s="26">
        <f>IFERROR(AG42/U42,"")</f>
        <v/>
      </c>
      <c r="AI42" s="29" t="n"/>
      <c r="AJ42" s="29" t="n"/>
      <c r="AK42" s="29" t="n"/>
      <c r="AL42" s="29" t="n"/>
    </row>
    <row r="43">
      <c r="A43" s="20">
        <f>IF(B43="","","TR-"&amp;TEXT(ROW()-2,"0000"))</f>
        <v/>
      </c>
      <c r="B43" s="39" t="n"/>
      <c r="C43" s="40" t="n"/>
      <c r="D43" s="40" t="n"/>
      <c r="E43" s="23" t="n"/>
      <c r="F43" s="23" t="n"/>
      <c r="G43" s="23" t="n"/>
      <c r="H43" s="23" t="n"/>
      <c r="I43" s="23" t="n"/>
      <c r="J43" s="23" t="n"/>
      <c r="K43" s="23" t="n"/>
      <c r="L43" s="41" t="n"/>
      <c r="M43" s="41" t="n"/>
      <c r="N43" s="41" t="n"/>
      <c r="O43" s="41" t="n"/>
      <c r="P43" s="41" t="n"/>
      <c r="Q43" s="41" t="n"/>
      <c r="R43" s="23" t="n"/>
      <c r="S43" s="23" t="n"/>
      <c r="T43" s="42">
        <f>IF(OR(L43="",M43=""),"",IFERROR(Settings!$B$3*Settings!$B$5,0))</f>
        <v/>
      </c>
      <c r="U43" s="42">
        <f>IF(OR(L43="",M43="",R43=""),"",ABS(L43-M43)*R43*IF(S43="",1,S43))</f>
        <v/>
      </c>
      <c r="V43" s="26">
        <f>IFERROR(ABS(N43-L43)/ABS(L43-M43),"")</f>
        <v/>
      </c>
      <c r="W43" s="23" t="n"/>
      <c r="X43" s="23" t="n"/>
      <c r="Y43" s="23" t="n"/>
      <c r="Z43" s="23" t="n"/>
      <c r="AA43" s="23" t="n"/>
      <c r="AB43" s="23" t="n"/>
      <c r="AC43" s="23" t="n"/>
      <c r="AD43" s="42">
        <f>IF(OR(L43="",Q43="",R43=""),"",IF(H43="Long",(Q43-L43)*R43*IF(S43="",1,S43),(L43-Q43)*R43*IF(S43="",1,S43)))</f>
        <v/>
      </c>
      <c r="AE43" s="41" t="n"/>
      <c r="AF43" s="41" t="n"/>
      <c r="AG43" s="42">
        <f>IF(AD43="","",AD43-IF(AE43="",0,AE43)-IF(AF43="",0,AF43))</f>
        <v/>
      </c>
      <c r="AH43" s="26">
        <f>IFERROR(AG43/U43,"")</f>
        <v/>
      </c>
      <c r="AI43" s="23" t="n"/>
      <c r="AJ43" s="23" t="n"/>
      <c r="AK43" s="23" t="n"/>
      <c r="AL43" s="23" t="n"/>
    </row>
    <row r="44">
      <c r="A44" s="20">
        <f>IF(B44="","","TR-"&amp;TEXT(ROW()-2,"0000"))</f>
        <v/>
      </c>
      <c r="B44" s="43" t="n"/>
      <c r="C44" s="44" t="n"/>
      <c r="D44" s="44" t="n"/>
      <c r="E44" s="29" t="n"/>
      <c r="F44" s="29" t="n"/>
      <c r="G44" s="29" t="n"/>
      <c r="H44" s="29" t="n"/>
      <c r="I44" s="29" t="n"/>
      <c r="J44" s="29" t="n"/>
      <c r="K44" s="29" t="n"/>
      <c r="L44" s="45" t="n"/>
      <c r="M44" s="45" t="n"/>
      <c r="N44" s="45" t="n"/>
      <c r="O44" s="45" t="n"/>
      <c r="P44" s="45" t="n"/>
      <c r="Q44" s="45" t="n"/>
      <c r="R44" s="29" t="n"/>
      <c r="S44" s="29" t="n"/>
      <c r="T44" s="42">
        <f>IF(OR(L44="",M44=""),"",IFERROR(Settings!$B$3*Settings!$B$5,0))</f>
        <v/>
      </c>
      <c r="U44" s="42">
        <f>IF(OR(L44="",M44="",R44=""),"",ABS(L44-M44)*R44*IF(S44="",1,S44))</f>
        <v/>
      </c>
      <c r="V44" s="26">
        <f>IFERROR(ABS(N44-L44)/ABS(L44-M44),"")</f>
        <v/>
      </c>
      <c r="W44" s="29" t="n"/>
      <c r="X44" s="29" t="n"/>
      <c r="Y44" s="29" t="n"/>
      <c r="Z44" s="29" t="n"/>
      <c r="AA44" s="29" t="n"/>
      <c r="AB44" s="29" t="n"/>
      <c r="AC44" s="29" t="n"/>
      <c r="AD44" s="42">
        <f>IF(OR(L44="",Q44="",R44=""),"",IF(H44="Long",(Q44-L44)*R44*IF(S44="",1,S44),(L44-Q44)*R44*IF(S44="",1,S44)))</f>
        <v/>
      </c>
      <c r="AE44" s="45" t="n"/>
      <c r="AF44" s="45" t="n"/>
      <c r="AG44" s="42">
        <f>IF(AD44="","",AD44-IF(AE44="",0,AE44)-IF(AF44="",0,AF44))</f>
        <v/>
      </c>
      <c r="AH44" s="26">
        <f>IFERROR(AG44/U44,"")</f>
        <v/>
      </c>
      <c r="AI44" s="29" t="n"/>
      <c r="AJ44" s="29" t="n"/>
      <c r="AK44" s="29" t="n"/>
      <c r="AL44" s="29" t="n"/>
    </row>
    <row r="45">
      <c r="A45" s="20">
        <f>IF(B45="","","TR-"&amp;TEXT(ROW()-2,"0000"))</f>
        <v/>
      </c>
      <c r="B45" s="39" t="n"/>
      <c r="C45" s="40" t="n"/>
      <c r="D45" s="40" t="n"/>
      <c r="E45" s="23" t="n"/>
      <c r="F45" s="23" t="n"/>
      <c r="G45" s="23" t="n"/>
      <c r="H45" s="23" t="n"/>
      <c r="I45" s="23" t="n"/>
      <c r="J45" s="23" t="n"/>
      <c r="K45" s="23" t="n"/>
      <c r="L45" s="41" t="n"/>
      <c r="M45" s="41" t="n"/>
      <c r="N45" s="41" t="n"/>
      <c r="O45" s="41" t="n"/>
      <c r="P45" s="41" t="n"/>
      <c r="Q45" s="41" t="n"/>
      <c r="R45" s="23" t="n"/>
      <c r="S45" s="23" t="n"/>
      <c r="T45" s="42">
        <f>IF(OR(L45="",M45=""),"",IFERROR(Settings!$B$3*Settings!$B$5,0))</f>
        <v/>
      </c>
      <c r="U45" s="42">
        <f>IF(OR(L45="",M45="",R45=""),"",ABS(L45-M45)*R45*IF(S45="",1,S45))</f>
        <v/>
      </c>
      <c r="V45" s="26">
        <f>IFERROR(ABS(N45-L45)/ABS(L45-M45),"")</f>
        <v/>
      </c>
      <c r="W45" s="23" t="n"/>
      <c r="X45" s="23" t="n"/>
      <c r="Y45" s="23" t="n"/>
      <c r="Z45" s="23" t="n"/>
      <c r="AA45" s="23" t="n"/>
      <c r="AB45" s="23" t="n"/>
      <c r="AC45" s="23" t="n"/>
      <c r="AD45" s="42">
        <f>IF(OR(L45="",Q45="",R45=""),"",IF(H45="Long",(Q45-L45)*R45*IF(S45="",1,S45),(L45-Q45)*R45*IF(S45="",1,S45)))</f>
        <v/>
      </c>
      <c r="AE45" s="41" t="n"/>
      <c r="AF45" s="41" t="n"/>
      <c r="AG45" s="42">
        <f>IF(AD45="","",AD45-IF(AE45="",0,AE45)-IF(AF45="",0,AF45))</f>
        <v/>
      </c>
      <c r="AH45" s="26">
        <f>IFERROR(AG45/U45,"")</f>
        <v/>
      </c>
      <c r="AI45" s="23" t="n"/>
      <c r="AJ45" s="23" t="n"/>
      <c r="AK45" s="23" t="n"/>
      <c r="AL45" s="23" t="n"/>
    </row>
    <row r="46">
      <c r="A46" s="20">
        <f>IF(B46="","","TR-"&amp;TEXT(ROW()-2,"0000"))</f>
        <v/>
      </c>
      <c r="B46" s="43" t="n"/>
      <c r="C46" s="44" t="n"/>
      <c r="D46" s="44" t="n"/>
      <c r="E46" s="29" t="n"/>
      <c r="F46" s="29" t="n"/>
      <c r="G46" s="29" t="n"/>
      <c r="H46" s="29" t="n"/>
      <c r="I46" s="29" t="n"/>
      <c r="J46" s="29" t="n"/>
      <c r="K46" s="29" t="n"/>
      <c r="L46" s="45" t="n"/>
      <c r="M46" s="45" t="n"/>
      <c r="N46" s="45" t="n"/>
      <c r="O46" s="45" t="n"/>
      <c r="P46" s="45" t="n"/>
      <c r="Q46" s="45" t="n"/>
      <c r="R46" s="29" t="n"/>
      <c r="S46" s="29" t="n"/>
      <c r="T46" s="42">
        <f>IF(OR(L46="",M46=""),"",IFERROR(Settings!$B$3*Settings!$B$5,0))</f>
        <v/>
      </c>
      <c r="U46" s="42">
        <f>IF(OR(L46="",M46="",R46=""),"",ABS(L46-M46)*R46*IF(S46="",1,S46))</f>
        <v/>
      </c>
      <c r="V46" s="26">
        <f>IFERROR(ABS(N46-L46)/ABS(L46-M46),"")</f>
        <v/>
      </c>
      <c r="W46" s="29" t="n"/>
      <c r="X46" s="29" t="n"/>
      <c r="Y46" s="29" t="n"/>
      <c r="Z46" s="29" t="n"/>
      <c r="AA46" s="29" t="n"/>
      <c r="AB46" s="29" t="n"/>
      <c r="AC46" s="29" t="n"/>
      <c r="AD46" s="42">
        <f>IF(OR(L46="",Q46="",R46=""),"",IF(H46="Long",(Q46-L46)*R46*IF(S46="",1,S46),(L46-Q46)*R46*IF(S46="",1,S46)))</f>
        <v/>
      </c>
      <c r="AE46" s="45" t="n"/>
      <c r="AF46" s="45" t="n"/>
      <c r="AG46" s="42">
        <f>IF(AD46="","",AD46-IF(AE46="",0,AE46)-IF(AF46="",0,AF46))</f>
        <v/>
      </c>
      <c r="AH46" s="26">
        <f>IFERROR(AG46/U46,"")</f>
        <v/>
      </c>
      <c r="AI46" s="29" t="n"/>
      <c r="AJ46" s="29" t="n"/>
      <c r="AK46" s="29" t="n"/>
      <c r="AL46" s="29" t="n"/>
    </row>
    <row r="47">
      <c r="A47" s="20">
        <f>IF(B47="","","TR-"&amp;TEXT(ROW()-2,"0000"))</f>
        <v/>
      </c>
      <c r="B47" s="39" t="n"/>
      <c r="C47" s="40" t="n"/>
      <c r="D47" s="40" t="n"/>
      <c r="E47" s="23" t="n"/>
      <c r="F47" s="23" t="n"/>
      <c r="G47" s="23" t="n"/>
      <c r="H47" s="23" t="n"/>
      <c r="I47" s="23" t="n"/>
      <c r="J47" s="23" t="n"/>
      <c r="K47" s="23" t="n"/>
      <c r="L47" s="41" t="n"/>
      <c r="M47" s="41" t="n"/>
      <c r="N47" s="41" t="n"/>
      <c r="O47" s="41" t="n"/>
      <c r="P47" s="41" t="n"/>
      <c r="Q47" s="41" t="n"/>
      <c r="R47" s="23" t="n"/>
      <c r="S47" s="23" t="n"/>
      <c r="T47" s="42">
        <f>IF(OR(L47="",M47=""),"",IFERROR(Settings!$B$3*Settings!$B$5,0))</f>
        <v/>
      </c>
      <c r="U47" s="42">
        <f>IF(OR(L47="",M47="",R47=""),"",ABS(L47-M47)*R47*IF(S47="",1,S47))</f>
        <v/>
      </c>
      <c r="V47" s="26">
        <f>IFERROR(ABS(N47-L47)/ABS(L47-M47),"")</f>
        <v/>
      </c>
      <c r="W47" s="23" t="n"/>
      <c r="X47" s="23" t="n"/>
      <c r="Y47" s="23" t="n"/>
      <c r="Z47" s="23" t="n"/>
      <c r="AA47" s="23" t="n"/>
      <c r="AB47" s="23" t="n"/>
      <c r="AC47" s="23" t="n"/>
      <c r="AD47" s="42">
        <f>IF(OR(L47="",Q47="",R47=""),"",IF(H47="Long",(Q47-L47)*R47*IF(S47="",1,S47),(L47-Q47)*R47*IF(S47="",1,S47)))</f>
        <v/>
      </c>
      <c r="AE47" s="41" t="n"/>
      <c r="AF47" s="41" t="n"/>
      <c r="AG47" s="42">
        <f>IF(AD47="","",AD47-IF(AE47="",0,AE47)-IF(AF47="",0,AF47))</f>
        <v/>
      </c>
      <c r="AH47" s="26">
        <f>IFERROR(AG47/U47,"")</f>
        <v/>
      </c>
      <c r="AI47" s="23" t="n"/>
      <c r="AJ47" s="23" t="n"/>
      <c r="AK47" s="23" t="n"/>
      <c r="AL47" s="23" t="n"/>
    </row>
    <row r="48">
      <c r="A48" s="20">
        <f>IF(B48="","","TR-"&amp;TEXT(ROW()-2,"0000"))</f>
        <v/>
      </c>
      <c r="B48" s="43" t="n"/>
      <c r="C48" s="44" t="n"/>
      <c r="D48" s="44" t="n"/>
      <c r="E48" s="29" t="n"/>
      <c r="F48" s="29" t="n"/>
      <c r="G48" s="29" t="n"/>
      <c r="H48" s="29" t="n"/>
      <c r="I48" s="29" t="n"/>
      <c r="J48" s="29" t="n"/>
      <c r="K48" s="29" t="n"/>
      <c r="L48" s="45" t="n"/>
      <c r="M48" s="45" t="n"/>
      <c r="N48" s="45" t="n"/>
      <c r="O48" s="45" t="n"/>
      <c r="P48" s="45" t="n"/>
      <c r="Q48" s="45" t="n"/>
      <c r="R48" s="29" t="n"/>
      <c r="S48" s="29" t="n"/>
      <c r="T48" s="42">
        <f>IF(OR(L48="",M48=""),"",IFERROR(Settings!$B$3*Settings!$B$5,0))</f>
        <v/>
      </c>
      <c r="U48" s="42">
        <f>IF(OR(L48="",M48="",R48=""),"",ABS(L48-M48)*R48*IF(S48="",1,S48))</f>
        <v/>
      </c>
      <c r="V48" s="26">
        <f>IFERROR(ABS(N48-L48)/ABS(L48-M48),"")</f>
        <v/>
      </c>
      <c r="W48" s="29" t="n"/>
      <c r="X48" s="29" t="n"/>
      <c r="Y48" s="29" t="n"/>
      <c r="Z48" s="29" t="n"/>
      <c r="AA48" s="29" t="n"/>
      <c r="AB48" s="29" t="n"/>
      <c r="AC48" s="29" t="n"/>
      <c r="AD48" s="42">
        <f>IF(OR(L48="",Q48="",R48=""),"",IF(H48="Long",(Q48-L48)*R48*IF(S48="",1,S48),(L48-Q48)*R48*IF(S48="",1,S48)))</f>
        <v/>
      </c>
      <c r="AE48" s="45" t="n"/>
      <c r="AF48" s="45" t="n"/>
      <c r="AG48" s="42">
        <f>IF(AD48="","",AD48-IF(AE48="",0,AE48)-IF(AF48="",0,AF48))</f>
        <v/>
      </c>
      <c r="AH48" s="26">
        <f>IFERROR(AG48/U48,"")</f>
        <v/>
      </c>
      <c r="AI48" s="29" t="n"/>
      <c r="AJ48" s="29" t="n"/>
      <c r="AK48" s="29" t="n"/>
      <c r="AL48" s="29" t="n"/>
    </row>
    <row r="49">
      <c r="A49" s="20">
        <f>IF(B49="","","TR-"&amp;TEXT(ROW()-2,"0000"))</f>
        <v/>
      </c>
      <c r="B49" s="39" t="n"/>
      <c r="C49" s="40" t="n"/>
      <c r="D49" s="40" t="n"/>
      <c r="E49" s="23" t="n"/>
      <c r="F49" s="23" t="n"/>
      <c r="G49" s="23" t="n"/>
      <c r="H49" s="23" t="n"/>
      <c r="I49" s="23" t="n"/>
      <c r="J49" s="23" t="n"/>
      <c r="K49" s="23" t="n"/>
      <c r="L49" s="41" t="n"/>
      <c r="M49" s="41" t="n"/>
      <c r="N49" s="41" t="n"/>
      <c r="O49" s="41" t="n"/>
      <c r="P49" s="41" t="n"/>
      <c r="Q49" s="41" t="n"/>
      <c r="R49" s="23" t="n"/>
      <c r="S49" s="23" t="n"/>
      <c r="T49" s="42">
        <f>IF(OR(L49="",M49=""),"",IFERROR(Settings!$B$3*Settings!$B$5,0))</f>
        <v/>
      </c>
      <c r="U49" s="42">
        <f>IF(OR(L49="",M49="",R49=""),"",ABS(L49-M49)*R49*IF(S49="",1,S49))</f>
        <v/>
      </c>
      <c r="V49" s="26">
        <f>IFERROR(ABS(N49-L49)/ABS(L49-M49),"")</f>
        <v/>
      </c>
      <c r="W49" s="23" t="n"/>
      <c r="X49" s="23" t="n"/>
      <c r="Y49" s="23" t="n"/>
      <c r="Z49" s="23" t="n"/>
      <c r="AA49" s="23" t="n"/>
      <c r="AB49" s="23" t="n"/>
      <c r="AC49" s="23" t="n"/>
      <c r="AD49" s="42">
        <f>IF(OR(L49="",Q49="",R49=""),"",IF(H49="Long",(Q49-L49)*R49*IF(S49="",1,S49),(L49-Q49)*R49*IF(S49="",1,S49)))</f>
        <v/>
      </c>
      <c r="AE49" s="41" t="n"/>
      <c r="AF49" s="41" t="n"/>
      <c r="AG49" s="42">
        <f>IF(AD49="","",AD49-IF(AE49="",0,AE49)-IF(AF49="",0,AF49))</f>
        <v/>
      </c>
      <c r="AH49" s="26">
        <f>IFERROR(AG49/U49,"")</f>
        <v/>
      </c>
      <c r="AI49" s="23" t="n"/>
      <c r="AJ49" s="23" t="n"/>
      <c r="AK49" s="23" t="n"/>
      <c r="AL49" s="23" t="n"/>
    </row>
    <row r="50">
      <c r="A50" s="20">
        <f>IF(B50="","","TR-"&amp;TEXT(ROW()-2,"0000"))</f>
        <v/>
      </c>
      <c r="B50" s="43" t="n"/>
      <c r="C50" s="44" t="n"/>
      <c r="D50" s="44" t="n"/>
      <c r="E50" s="29" t="n"/>
      <c r="F50" s="29" t="n"/>
      <c r="G50" s="29" t="n"/>
      <c r="H50" s="29" t="n"/>
      <c r="I50" s="29" t="n"/>
      <c r="J50" s="29" t="n"/>
      <c r="K50" s="29" t="n"/>
      <c r="L50" s="45" t="n"/>
      <c r="M50" s="45" t="n"/>
      <c r="N50" s="45" t="n"/>
      <c r="O50" s="45" t="n"/>
      <c r="P50" s="45" t="n"/>
      <c r="Q50" s="45" t="n"/>
      <c r="R50" s="29" t="n"/>
      <c r="S50" s="29" t="n"/>
      <c r="T50" s="42">
        <f>IF(OR(L50="",M50=""),"",IFERROR(Settings!$B$3*Settings!$B$5,0))</f>
        <v/>
      </c>
      <c r="U50" s="42">
        <f>IF(OR(L50="",M50="",R50=""),"",ABS(L50-M50)*R50*IF(S50="",1,S50))</f>
        <v/>
      </c>
      <c r="V50" s="26">
        <f>IFERROR(ABS(N50-L50)/ABS(L50-M50),"")</f>
        <v/>
      </c>
      <c r="W50" s="29" t="n"/>
      <c r="X50" s="29" t="n"/>
      <c r="Y50" s="29" t="n"/>
      <c r="Z50" s="29" t="n"/>
      <c r="AA50" s="29" t="n"/>
      <c r="AB50" s="29" t="n"/>
      <c r="AC50" s="29" t="n"/>
      <c r="AD50" s="42">
        <f>IF(OR(L50="",Q50="",R50=""),"",IF(H50="Long",(Q50-L50)*R50*IF(S50="",1,S50),(L50-Q50)*R50*IF(S50="",1,S50)))</f>
        <v/>
      </c>
      <c r="AE50" s="45" t="n"/>
      <c r="AF50" s="45" t="n"/>
      <c r="AG50" s="42">
        <f>IF(AD50="","",AD50-IF(AE50="",0,AE50)-IF(AF50="",0,AF50))</f>
        <v/>
      </c>
      <c r="AH50" s="26">
        <f>IFERROR(AG50/U50,"")</f>
        <v/>
      </c>
      <c r="AI50" s="29" t="n"/>
      <c r="AJ50" s="29" t="n"/>
      <c r="AK50" s="29" t="n"/>
      <c r="AL50" s="29" t="n"/>
    </row>
    <row r="51">
      <c r="A51" s="20">
        <f>IF(B51="","","TR-"&amp;TEXT(ROW()-2,"0000"))</f>
        <v/>
      </c>
      <c r="B51" s="39" t="n"/>
      <c r="C51" s="40" t="n"/>
      <c r="D51" s="40" t="n"/>
      <c r="E51" s="23" t="n"/>
      <c r="F51" s="23" t="n"/>
      <c r="G51" s="23" t="n"/>
      <c r="H51" s="23" t="n"/>
      <c r="I51" s="23" t="n"/>
      <c r="J51" s="23" t="n"/>
      <c r="K51" s="23" t="n"/>
      <c r="L51" s="41" t="n"/>
      <c r="M51" s="41" t="n"/>
      <c r="N51" s="41" t="n"/>
      <c r="O51" s="41" t="n"/>
      <c r="P51" s="41" t="n"/>
      <c r="Q51" s="41" t="n"/>
      <c r="R51" s="23" t="n"/>
      <c r="S51" s="23" t="n"/>
      <c r="T51" s="42">
        <f>IF(OR(L51="",M51=""),"",IFERROR(Settings!$B$3*Settings!$B$5,0))</f>
        <v/>
      </c>
      <c r="U51" s="42">
        <f>IF(OR(L51="",M51="",R51=""),"",ABS(L51-M51)*R51*IF(S51="",1,S51))</f>
        <v/>
      </c>
      <c r="V51" s="26">
        <f>IFERROR(ABS(N51-L51)/ABS(L51-M51),"")</f>
        <v/>
      </c>
      <c r="W51" s="23" t="n"/>
      <c r="X51" s="23" t="n"/>
      <c r="Y51" s="23" t="n"/>
      <c r="Z51" s="23" t="n"/>
      <c r="AA51" s="23" t="n"/>
      <c r="AB51" s="23" t="n"/>
      <c r="AC51" s="23" t="n"/>
      <c r="AD51" s="42">
        <f>IF(OR(L51="",Q51="",R51=""),"",IF(H51="Long",(Q51-L51)*R51*IF(S51="",1,S51),(L51-Q51)*R51*IF(S51="",1,S51)))</f>
        <v/>
      </c>
      <c r="AE51" s="41" t="n"/>
      <c r="AF51" s="41" t="n"/>
      <c r="AG51" s="42">
        <f>IF(AD51="","",AD51-IF(AE51="",0,AE51)-IF(AF51="",0,AF51))</f>
        <v/>
      </c>
      <c r="AH51" s="26">
        <f>IFERROR(AG51/U51,"")</f>
        <v/>
      </c>
      <c r="AI51" s="23" t="n"/>
      <c r="AJ51" s="23" t="n"/>
      <c r="AK51" s="23" t="n"/>
      <c r="AL51" s="23" t="n"/>
    </row>
    <row r="52">
      <c r="A52" s="20">
        <f>IF(B52="","","TR-"&amp;TEXT(ROW()-2,"0000"))</f>
        <v/>
      </c>
      <c r="B52" s="43" t="n"/>
      <c r="C52" s="44" t="n"/>
      <c r="D52" s="44" t="n"/>
      <c r="E52" s="29" t="n"/>
      <c r="F52" s="29" t="n"/>
      <c r="G52" s="29" t="n"/>
      <c r="H52" s="29" t="n"/>
      <c r="I52" s="29" t="n"/>
      <c r="J52" s="29" t="n"/>
      <c r="K52" s="29" t="n"/>
      <c r="L52" s="45" t="n"/>
      <c r="M52" s="45" t="n"/>
      <c r="N52" s="45" t="n"/>
      <c r="O52" s="45" t="n"/>
      <c r="P52" s="45" t="n"/>
      <c r="Q52" s="45" t="n"/>
      <c r="R52" s="29" t="n"/>
      <c r="S52" s="29" t="n"/>
      <c r="T52" s="42">
        <f>IF(OR(L52="",M52=""),"",IFERROR(Settings!$B$3*Settings!$B$5,0))</f>
        <v/>
      </c>
      <c r="U52" s="42">
        <f>IF(OR(L52="",M52="",R52=""),"",ABS(L52-M52)*R52*IF(S52="",1,S52))</f>
        <v/>
      </c>
      <c r="V52" s="26">
        <f>IFERROR(ABS(N52-L52)/ABS(L52-M52),"")</f>
        <v/>
      </c>
      <c r="W52" s="29" t="n"/>
      <c r="X52" s="29" t="n"/>
      <c r="Y52" s="29" t="n"/>
      <c r="Z52" s="29" t="n"/>
      <c r="AA52" s="29" t="n"/>
      <c r="AB52" s="29" t="n"/>
      <c r="AC52" s="29" t="n"/>
      <c r="AD52" s="42">
        <f>IF(OR(L52="",Q52="",R52=""),"",IF(H52="Long",(Q52-L52)*R52*IF(S52="",1,S52),(L52-Q52)*R52*IF(S52="",1,S52)))</f>
        <v/>
      </c>
      <c r="AE52" s="45" t="n"/>
      <c r="AF52" s="45" t="n"/>
      <c r="AG52" s="42">
        <f>IF(AD52="","",AD52-IF(AE52="",0,AE52)-IF(AF52="",0,AF52))</f>
        <v/>
      </c>
      <c r="AH52" s="26">
        <f>IFERROR(AG52/U52,"")</f>
        <v/>
      </c>
      <c r="AI52" s="29" t="n"/>
      <c r="AJ52" s="29" t="n"/>
      <c r="AK52" s="29" t="n"/>
      <c r="AL52" s="29" t="n"/>
    </row>
    <row r="53">
      <c r="A53" s="20">
        <f>IF(B53="","","TR-"&amp;TEXT(ROW()-2,"0000"))</f>
        <v/>
      </c>
      <c r="B53" s="39" t="n"/>
      <c r="C53" s="40" t="n"/>
      <c r="D53" s="40" t="n"/>
      <c r="E53" s="23" t="n"/>
      <c r="F53" s="23" t="n"/>
      <c r="G53" s="23" t="n"/>
      <c r="H53" s="23" t="n"/>
      <c r="I53" s="23" t="n"/>
      <c r="J53" s="23" t="n"/>
      <c r="K53" s="23" t="n"/>
      <c r="L53" s="41" t="n"/>
      <c r="M53" s="41" t="n"/>
      <c r="N53" s="41" t="n"/>
      <c r="O53" s="41" t="n"/>
      <c r="P53" s="41" t="n"/>
      <c r="Q53" s="41" t="n"/>
      <c r="R53" s="23" t="n"/>
      <c r="S53" s="23" t="n"/>
      <c r="T53" s="42">
        <f>IF(OR(L53="",M53=""),"",IFERROR(Settings!$B$3*Settings!$B$5,0))</f>
        <v/>
      </c>
      <c r="U53" s="42">
        <f>IF(OR(L53="",M53="",R53=""),"",ABS(L53-M53)*R53*IF(S53="",1,S53))</f>
        <v/>
      </c>
      <c r="V53" s="26">
        <f>IFERROR(ABS(N53-L53)/ABS(L53-M53),"")</f>
        <v/>
      </c>
      <c r="W53" s="23" t="n"/>
      <c r="X53" s="23" t="n"/>
      <c r="Y53" s="23" t="n"/>
      <c r="Z53" s="23" t="n"/>
      <c r="AA53" s="23" t="n"/>
      <c r="AB53" s="23" t="n"/>
      <c r="AC53" s="23" t="n"/>
      <c r="AD53" s="42">
        <f>IF(OR(L53="",Q53="",R53=""),"",IF(H53="Long",(Q53-L53)*R53*IF(S53="",1,S53),(L53-Q53)*R53*IF(S53="",1,S53)))</f>
        <v/>
      </c>
      <c r="AE53" s="41" t="n"/>
      <c r="AF53" s="41" t="n"/>
      <c r="AG53" s="42">
        <f>IF(AD53="","",AD53-IF(AE53="",0,AE53)-IF(AF53="",0,AF53))</f>
        <v/>
      </c>
      <c r="AH53" s="26">
        <f>IFERROR(AG53/U53,"")</f>
        <v/>
      </c>
      <c r="AI53" s="23" t="n"/>
      <c r="AJ53" s="23" t="n"/>
      <c r="AK53" s="23" t="n"/>
      <c r="AL53" s="23" t="n"/>
    </row>
    <row r="54">
      <c r="A54" s="20">
        <f>IF(B54="","","TR-"&amp;TEXT(ROW()-2,"0000"))</f>
        <v/>
      </c>
      <c r="B54" s="43" t="n"/>
      <c r="C54" s="44" t="n"/>
      <c r="D54" s="44" t="n"/>
      <c r="E54" s="29" t="n"/>
      <c r="F54" s="29" t="n"/>
      <c r="G54" s="29" t="n"/>
      <c r="H54" s="29" t="n"/>
      <c r="I54" s="29" t="n"/>
      <c r="J54" s="29" t="n"/>
      <c r="K54" s="29" t="n"/>
      <c r="L54" s="45" t="n"/>
      <c r="M54" s="45" t="n"/>
      <c r="N54" s="45" t="n"/>
      <c r="O54" s="45" t="n"/>
      <c r="P54" s="45" t="n"/>
      <c r="Q54" s="45" t="n"/>
      <c r="R54" s="29" t="n"/>
      <c r="S54" s="29" t="n"/>
      <c r="T54" s="42">
        <f>IF(OR(L54="",M54=""),"",IFERROR(Settings!$B$3*Settings!$B$5,0))</f>
        <v/>
      </c>
      <c r="U54" s="42">
        <f>IF(OR(L54="",M54="",R54=""),"",ABS(L54-M54)*R54*IF(S54="",1,S54))</f>
        <v/>
      </c>
      <c r="V54" s="26">
        <f>IFERROR(ABS(N54-L54)/ABS(L54-M54),"")</f>
        <v/>
      </c>
      <c r="W54" s="29" t="n"/>
      <c r="X54" s="29" t="n"/>
      <c r="Y54" s="29" t="n"/>
      <c r="Z54" s="29" t="n"/>
      <c r="AA54" s="29" t="n"/>
      <c r="AB54" s="29" t="n"/>
      <c r="AC54" s="29" t="n"/>
      <c r="AD54" s="42">
        <f>IF(OR(L54="",Q54="",R54=""),"",IF(H54="Long",(Q54-L54)*R54*IF(S54="",1,S54),(L54-Q54)*R54*IF(S54="",1,S54)))</f>
        <v/>
      </c>
      <c r="AE54" s="45" t="n"/>
      <c r="AF54" s="45" t="n"/>
      <c r="AG54" s="42">
        <f>IF(AD54="","",AD54-IF(AE54="",0,AE54)-IF(AF54="",0,AF54))</f>
        <v/>
      </c>
      <c r="AH54" s="26">
        <f>IFERROR(AG54/U54,"")</f>
        <v/>
      </c>
      <c r="AI54" s="29" t="n"/>
      <c r="AJ54" s="29" t="n"/>
      <c r="AK54" s="29" t="n"/>
      <c r="AL54" s="29" t="n"/>
    </row>
    <row r="55">
      <c r="A55" s="20">
        <f>IF(B55="","","TR-"&amp;TEXT(ROW()-2,"0000"))</f>
        <v/>
      </c>
      <c r="B55" s="39" t="n"/>
      <c r="C55" s="40" t="n"/>
      <c r="D55" s="40" t="n"/>
      <c r="E55" s="23" t="n"/>
      <c r="F55" s="23" t="n"/>
      <c r="G55" s="23" t="n"/>
      <c r="H55" s="23" t="n"/>
      <c r="I55" s="23" t="n"/>
      <c r="J55" s="23" t="n"/>
      <c r="K55" s="23" t="n"/>
      <c r="L55" s="41" t="n"/>
      <c r="M55" s="41" t="n"/>
      <c r="N55" s="41" t="n"/>
      <c r="O55" s="41" t="n"/>
      <c r="P55" s="41" t="n"/>
      <c r="Q55" s="41" t="n"/>
      <c r="R55" s="23" t="n"/>
      <c r="S55" s="23" t="n"/>
      <c r="T55" s="42">
        <f>IF(OR(L55="",M55=""),"",IFERROR(Settings!$B$3*Settings!$B$5,0))</f>
        <v/>
      </c>
      <c r="U55" s="42">
        <f>IF(OR(L55="",M55="",R55=""),"",ABS(L55-M55)*R55*IF(S55="",1,S55))</f>
        <v/>
      </c>
      <c r="V55" s="26">
        <f>IFERROR(ABS(N55-L55)/ABS(L55-M55),"")</f>
        <v/>
      </c>
      <c r="W55" s="23" t="n"/>
      <c r="X55" s="23" t="n"/>
      <c r="Y55" s="23" t="n"/>
      <c r="Z55" s="23" t="n"/>
      <c r="AA55" s="23" t="n"/>
      <c r="AB55" s="23" t="n"/>
      <c r="AC55" s="23" t="n"/>
      <c r="AD55" s="42">
        <f>IF(OR(L55="",Q55="",R55=""),"",IF(H55="Long",(Q55-L55)*R55*IF(S55="",1,S55),(L55-Q55)*R55*IF(S55="",1,S55)))</f>
        <v/>
      </c>
      <c r="AE55" s="41" t="n"/>
      <c r="AF55" s="41" t="n"/>
      <c r="AG55" s="42">
        <f>IF(AD55="","",AD55-IF(AE55="",0,AE55)-IF(AF55="",0,AF55))</f>
        <v/>
      </c>
      <c r="AH55" s="26">
        <f>IFERROR(AG55/U55,"")</f>
        <v/>
      </c>
      <c r="AI55" s="23" t="n"/>
      <c r="AJ55" s="23" t="n"/>
      <c r="AK55" s="23" t="n"/>
      <c r="AL55" s="23" t="n"/>
    </row>
    <row r="56">
      <c r="A56" s="20">
        <f>IF(B56="","","TR-"&amp;TEXT(ROW()-2,"0000"))</f>
        <v/>
      </c>
      <c r="B56" s="43" t="n"/>
      <c r="C56" s="44" t="n"/>
      <c r="D56" s="44" t="n"/>
      <c r="E56" s="29" t="n"/>
      <c r="F56" s="29" t="n"/>
      <c r="G56" s="29" t="n"/>
      <c r="H56" s="29" t="n"/>
      <c r="I56" s="29" t="n"/>
      <c r="J56" s="29" t="n"/>
      <c r="K56" s="29" t="n"/>
      <c r="L56" s="45" t="n"/>
      <c r="M56" s="45" t="n"/>
      <c r="N56" s="45" t="n"/>
      <c r="O56" s="45" t="n"/>
      <c r="P56" s="45" t="n"/>
      <c r="Q56" s="45" t="n"/>
      <c r="R56" s="29" t="n"/>
      <c r="S56" s="29" t="n"/>
      <c r="T56" s="42">
        <f>IF(OR(L56="",M56=""),"",IFERROR(Settings!$B$3*Settings!$B$5,0))</f>
        <v/>
      </c>
      <c r="U56" s="42">
        <f>IF(OR(L56="",M56="",R56=""),"",ABS(L56-M56)*R56*IF(S56="",1,S56))</f>
        <v/>
      </c>
      <c r="V56" s="26">
        <f>IFERROR(ABS(N56-L56)/ABS(L56-M56),"")</f>
        <v/>
      </c>
      <c r="W56" s="29" t="n"/>
      <c r="X56" s="29" t="n"/>
      <c r="Y56" s="29" t="n"/>
      <c r="Z56" s="29" t="n"/>
      <c r="AA56" s="29" t="n"/>
      <c r="AB56" s="29" t="n"/>
      <c r="AC56" s="29" t="n"/>
      <c r="AD56" s="42">
        <f>IF(OR(L56="",Q56="",R56=""),"",IF(H56="Long",(Q56-L56)*R56*IF(S56="",1,S56),(L56-Q56)*R56*IF(S56="",1,S56)))</f>
        <v/>
      </c>
      <c r="AE56" s="45" t="n"/>
      <c r="AF56" s="45" t="n"/>
      <c r="AG56" s="42">
        <f>IF(AD56="","",AD56-IF(AE56="",0,AE56)-IF(AF56="",0,AF56))</f>
        <v/>
      </c>
      <c r="AH56" s="26">
        <f>IFERROR(AG56/U56,"")</f>
        <v/>
      </c>
      <c r="AI56" s="29" t="n"/>
      <c r="AJ56" s="29" t="n"/>
      <c r="AK56" s="29" t="n"/>
      <c r="AL56" s="29" t="n"/>
    </row>
    <row r="57">
      <c r="A57" s="20">
        <f>IF(B57="","","TR-"&amp;TEXT(ROW()-2,"0000"))</f>
        <v/>
      </c>
      <c r="B57" s="39" t="n"/>
      <c r="C57" s="40" t="n"/>
      <c r="D57" s="40" t="n"/>
      <c r="E57" s="23" t="n"/>
      <c r="F57" s="23" t="n"/>
      <c r="G57" s="23" t="n"/>
      <c r="H57" s="23" t="n"/>
      <c r="I57" s="23" t="n"/>
      <c r="J57" s="23" t="n"/>
      <c r="K57" s="23" t="n"/>
      <c r="L57" s="41" t="n"/>
      <c r="M57" s="41" t="n"/>
      <c r="N57" s="41" t="n"/>
      <c r="O57" s="41" t="n"/>
      <c r="P57" s="41" t="n"/>
      <c r="Q57" s="41" t="n"/>
      <c r="R57" s="23" t="n"/>
      <c r="S57" s="23" t="n"/>
      <c r="T57" s="42">
        <f>IF(OR(L57="",M57=""),"",IFERROR(Settings!$B$3*Settings!$B$5,0))</f>
        <v/>
      </c>
      <c r="U57" s="42">
        <f>IF(OR(L57="",M57="",R57=""),"",ABS(L57-M57)*R57*IF(S57="",1,S57))</f>
        <v/>
      </c>
      <c r="V57" s="26">
        <f>IFERROR(ABS(N57-L57)/ABS(L57-M57),"")</f>
        <v/>
      </c>
      <c r="W57" s="23" t="n"/>
      <c r="X57" s="23" t="n"/>
      <c r="Y57" s="23" t="n"/>
      <c r="Z57" s="23" t="n"/>
      <c r="AA57" s="23" t="n"/>
      <c r="AB57" s="23" t="n"/>
      <c r="AC57" s="23" t="n"/>
      <c r="AD57" s="42">
        <f>IF(OR(L57="",Q57="",R57=""),"",IF(H57="Long",(Q57-L57)*R57*IF(S57="",1,S57),(L57-Q57)*R57*IF(S57="",1,S57)))</f>
        <v/>
      </c>
      <c r="AE57" s="41" t="n"/>
      <c r="AF57" s="41" t="n"/>
      <c r="AG57" s="42">
        <f>IF(AD57="","",AD57-IF(AE57="",0,AE57)-IF(AF57="",0,AF57))</f>
        <v/>
      </c>
      <c r="AH57" s="26">
        <f>IFERROR(AG57/U57,"")</f>
        <v/>
      </c>
      <c r="AI57" s="23" t="n"/>
      <c r="AJ57" s="23" t="n"/>
      <c r="AK57" s="23" t="n"/>
      <c r="AL57" s="23" t="n"/>
    </row>
    <row r="58">
      <c r="A58" s="20">
        <f>IF(B58="","","TR-"&amp;TEXT(ROW()-2,"0000"))</f>
        <v/>
      </c>
      <c r="B58" s="43" t="n"/>
      <c r="C58" s="44" t="n"/>
      <c r="D58" s="44" t="n"/>
      <c r="E58" s="29" t="n"/>
      <c r="F58" s="29" t="n"/>
      <c r="G58" s="29" t="n"/>
      <c r="H58" s="29" t="n"/>
      <c r="I58" s="29" t="n"/>
      <c r="J58" s="29" t="n"/>
      <c r="K58" s="29" t="n"/>
      <c r="L58" s="45" t="n"/>
      <c r="M58" s="45" t="n"/>
      <c r="N58" s="45" t="n"/>
      <c r="O58" s="45" t="n"/>
      <c r="P58" s="45" t="n"/>
      <c r="Q58" s="45" t="n"/>
      <c r="R58" s="29" t="n"/>
      <c r="S58" s="29" t="n"/>
      <c r="T58" s="42">
        <f>IF(OR(L58="",M58=""),"",IFERROR(Settings!$B$3*Settings!$B$5,0))</f>
        <v/>
      </c>
      <c r="U58" s="42">
        <f>IF(OR(L58="",M58="",R58=""),"",ABS(L58-M58)*R58*IF(S58="",1,S58))</f>
        <v/>
      </c>
      <c r="V58" s="26">
        <f>IFERROR(ABS(N58-L58)/ABS(L58-M58),"")</f>
        <v/>
      </c>
      <c r="W58" s="29" t="n"/>
      <c r="X58" s="29" t="n"/>
      <c r="Y58" s="29" t="n"/>
      <c r="Z58" s="29" t="n"/>
      <c r="AA58" s="29" t="n"/>
      <c r="AB58" s="29" t="n"/>
      <c r="AC58" s="29" t="n"/>
      <c r="AD58" s="42">
        <f>IF(OR(L58="",Q58="",R58=""),"",IF(H58="Long",(Q58-L58)*R58*IF(S58="",1,S58),(L58-Q58)*R58*IF(S58="",1,S58)))</f>
        <v/>
      </c>
      <c r="AE58" s="45" t="n"/>
      <c r="AF58" s="45" t="n"/>
      <c r="AG58" s="42">
        <f>IF(AD58="","",AD58-IF(AE58="",0,AE58)-IF(AF58="",0,AF58))</f>
        <v/>
      </c>
      <c r="AH58" s="26">
        <f>IFERROR(AG58/U58,"")</f>
        <v/>
      </c>
      <c r="AI58" s="29" t="n"/>
      <c r="AJ58" s="29" t="n"/>
      <c r="AK58" s="29" t="n"/>
      <c r="AL58" s="29" t="n"/>
    </row>
    <row r="59">
      <c r="A59" s="20">
        <f>IF(B59="","","TR-"&amp;TEXT(ROW()-2,"0000"))</f>
        <v/>
      </c>
      <c r="B59" s="39" t="n"/>
      <c r="C59" s="40" t="n"/>
      <c r="D59" s="40" t="n"/>
      <c r="E59" s="23" t="n"/>
      <c r="F59" s="23" t="n"/>
      <c r="G59" s="23" t="n"/>
      <c r="H59" s="23" t="n"/>
      <c r="I59" s="23" t="n"/>
      <c r="J59" s="23" t="n"/>
      <c r="K59" s="23" t="n"/>
      <c r="L59" s="41" t="n"/>
      <c r="M59" s="41" t="n"/>
      <c r="N59" s="41" t="n"/>
      <c r="O59" s="41" t="n"/>
      <c r="P59" s="41" t="n"/>
      <c r="Q59" s="41" t="n"/>
      <c r="R59" s="23" t="n"/>
      <c r="S59" s="23" t="n"/>
      <c r="T59" s="42">
        <f>IF(OR(L59="",M59=""),"",IFERROR(Settings!$B$3*Settings!$B$5,0))</f>
        <v/>
      </c>
      <c r="U59" s="42">
        <f>IF(OR(L59="",M59="",R59=""),"",ABS(L59-M59)*R59*IF(S59="",1,S59))</f>
        <v/>
      </c>
      <c r="V59" s="26">
        <f>IFERROR(ABS(N59-L59)/ABS(L59-M59),"")</f>
        <v/>
      </c>
      <c r="W59" s="23" t="n"/>
      <c r="X59" s="23" t="n"/>
      <c r="Y59" s="23" t="n"/>
      <c r="Z59" s="23" t="n"/>
      <c r="AA59" s="23" t="n"/>
      <c r="AB59" s="23" t="n"/>
      <c r="AC59" s="23" t="n"/>
      <c r="AD59" s="42">
        <f>IF(OR(L59="",Q59="",R59=""),"",IF(H59="Long",(Q59-L59)*R59*IF(S59="",1,S59),(L59-Q59)*R59*IF(S59="",1,S59)))</f>
        <v/>
      </c>
      <c r="AE59" s="41" t="n"/>
      <c r="AF59" s="41" t="n"/>
      <c r="AG59" s="42">
        <f>IF(AD59="","",AD59-IF(AE59="",0,AE59)-IF(AF59="",0,AF59))</f>
        <v/>
      </c>
      <c r="AH59" s="26">
        <f>IFERROR(AG59/U59,"")</f>
        <v/>
      </c>
      <c r="AI59" s="23" t="n"/>
      <c r="AJ59" s="23" t="n"/>
      <c r="AK59" s="23" t="n"/>
      <c r="AL59" s="23" t="n"/>
    </row>
    <row r="60">
      <c r="A60" s="20">
        <f>IF(B60="","","TR-"&amp;TEXT(ROW()-2,"0000"))</f>
        <v/>
      </c>
      <c r="B60" s="43" t="n"/>
      <c r="C60" s="44" t="n"/>
      <c r="D60" s="44" t="n"/>
      <c r="E60" s="29" t="n"/>
      <c r="F60" s="29" t="n"/>
      <c r="G60" s="29" t="n"/>
      <c r="H60" s="29" t="n"/>
      <c r="I60" s="29" t="n"/>
      <c r="J60" s="29" t="n"/>
      <c r="K60" s="29" t="n"/>
      <c r="L60" s="45" t="n"/>
      <c r="M60" s="45" t="n"/>
      <c r="N60" s="45" t="n"/>
      <c r="O60" s="45" t="n"/>
      <c r="P60" s="45" t="n"/>
      <c r="Q60" s="45" t="n"/>
      <c r="R60" s="29" t="n"/>
      <c r="S60" s="29" t="n"/>
      <c r="T60" s="42">
        <f>IF(OR(L60="",M60=""),"",IFERROR(Settings!$B$3*Settings!$B$5,0))</f>
        <v/>
      </c>
      <c r="U60" s="42">
        <f>IF(OR(L60="",M60="",R60=""),"",ABS(L60-M60)*R60*IF(S60="",1,S60))</f>
        <v/>
      </c>
      <c r="V60" s="26">
        <f>IFERROR(ABS(N60-L60)/ABS(L60-M60),"")</f>
        <v/>
      </c>
      <c r="W60" s="29" t="n"/>
      <c r="X60" s="29" t="n"/>
      <c r="Y60" s="29" t="n"/>
      <c r="Z60" s="29" t="n"/>
      <c r="AA60" s="29" t="n"/>
      <c r="AB60" s="29" t="n"/>
      <c r="AC60" s="29" t="n"/>
      <c r="AD60" s="42">
        <f>IF(OR(L60="",Q60="",R60=""),"",IF(H60="Long",(Q60-L60)*R60*IF(S60="",1,S60),(L60-Q60)*R60*IF(S60="",1,S60)))</f>
        <v/>
      </c>
      <c r="AE60" s="45" t="n"/>
      <c r="AF60" s="45" t="n"/>
      <c r="AG60" s="42">
        <f>IF(AD60="","",AD60-IF(AE60="",0,AE60)-IF(AF60="",0,AF60))</f>
        <v/>
      </c>
      <c r="AH60" s="26">
        <f>IFERROR(AG60/U60,"")</f>
        <v/>
      </c>
      <c r="AI60" s="29" t="n"/>
      <c r="AJ60" s="29" t="n"/>
      <c r="AK60" s="29" t="n"/>
      <c r="AL60" s="29" t="n"/>
    </row>
    <row r="61">
      <c r="A61" s="20">
        <f>IF(B61="","","TR-"&amp;TEXT(ROW()-2,"0000"))</f>
        <v/>
      </c>
      <c r="B61" s="39" t="n"/>
      <c r="C61" s="40" t="n"/>
      <c r="D61" s="40" t="n"/>
      <c r="E61" s="23" t="n"/>
      <c r="F61" s="23" t="n"/>
      <c r="G61" s="23" t="n"/>
      <c r="H61" s="23" t="n"/>
      <c r="I61" s="23" t="n"/>
      <c r="J61" s="23" t="n"/>
      <c r="K61" s="23" t="n"/>
      <c r="L61" s="41" t="n"/>
      <c r="M61" s="41" t="n"/>
      <c r="N61" s="41" t="n"/>
      <c r="O61" s="41" t="n"/>
      <c r="P61" s="41" t="n"/>
      <c r="Q61" s="41" t="n"/>
      <c r="R61" s="23" t="n"/>
      <c r="S61" s="23" t="n"/>
      <c r="T61" s="42">
        <f>IF(OR(L61="",M61=""),"",IFERROR(Settings!$B$3*Settings!$B$5,0))</f>
        <v/>
      </c>
      <c r="U61" s="42">
        <f>IF(OR(L61="",M61="",R61=""),"",ABS(L61-M61)*R61*IF(S61="",1,S61))</f>
        <v/>
      </c>
      <c r="V61" s="26">
        <f>IFERROR(ABS(N61-L61)/ABS(L61-M61),"")</f>
        <v/>
      </c>
      <c r="W61" s="23" t="n"/>
      <c r="X61" s="23" t="n"/>
      <c r="Y61" s="23" t="n"/>
      <c r="Z61" s="23" t="n"/>
      <c r="AA61" s="23" t="n"/>
      <c r="AB61" s="23" t="n"/>
      <c r="AC61" s="23" t="n"/>
      <c r="AD61" s="42">
        <f>IF(OR(L61="",Q61="",R61=""),"",IF(H61="Long",(Q61-L61)*R61*IF(S61="",1,S61),(L61-Q61)*R61*IF(S61="",1,S61)))</f>
        <v/>
      </c>
      <c r="AE61" s="41" t="n"/>
      <c r="AF61" s="41" t="n"/>
      <c r="AG61" s="42">
        <f>IF(AD61="","",AD61-IF(AE61="",0,AE61)-IF(AF61="",0,AF61))</f>
        <v/>
      </c>
      <c r="AH61" s="26">
        <f>IFERROR(AG61/U61,"")</f>
        <v/>
      </c>
      <c r="AI61" s="23" t="n"/>
      <c r="AJ61" s="23" t="n"/>
      <c r="AK61" s="23" t="n"/>
      <c r="AL61" s="23" t="n"/>
    </row>
    <row r="62">
      <c r="A62" s="20">
        <f>IF(B62="","","TR-"&amp;TEXT(ROW()-2,"0000"))</f>
        <v/>
      </c>
      <c r="B62" s="43" t="n"/>
      <c r="C62" s="44" t="n"/>
      <c r="D62" s="44" t="n"/>
      <c r="E62" s="29" t="n"/>
      <c r="F62" s="29" t="n"/>
      <c r="G62" s="29" t="n"/>
      <c r="H62" s="29" t="n"/>
      <c r="I62" s="29" t="n"/>
      <c r="J62" s="29" t="n"/>
      <c r="K62" s="29" t="n"/>
      <c r="L62" s="45" t="n"/>
      <c r="M62" s="45" t="n"/>
      <c r="N62" s="45" t="n"/>
      <c r="O62" s="45" t="n"/>
      <c r="P62" s="45" t="n"/>
      <c r="Q62" s="45" t="n"/>
      <c r="R62" s="29" t="n"/>
      <c r="S62" s="29" t="n"/>
      <c r="T62" s="42">
        <f>IF(OR(L62="",M62=""),"",IFERROR(Settings!$B$3*Settings!$B$5,0))</f>
        <v/>
      </c>
      <c r="U62" s="42">
        <f>IF(OR(L62="",M62="",R62=""),"",ABS(L62-M62)*R62*IF(S62="",1,S62))</f>
        <v/>
      </c>
      <c r="V62" s="26">
        <f>IFERROR(ABS(N62-L62)/ABS(L62-M62),"")</f>
        <v/>
      </c>
      <c r="W62" s="29" t="n"/>
      <c r="X62" s="29" t="n"/>
      <c r="Y62" s="29" t="n"/>
      <c r="Z62" s="29" t="n"/>
      <c r="AA62" s="29" t="n"/>
      <c r="AB62" s="29" t="n"/>
      <c r="AC62" s="29" t="n"/>
      <c r="AD62" s="42">
        <f>IF(OR(L62="",Q62="",R62=""),"",IF(H62="Long",(Q62-L62)*R62*IF(S62="",1,S62),(L62-Q62)*R62*IF(S62="",1,S62)))</f>
        <v/>
      </c>
      <c r="AE62" s="45" t="n"/>
      <c r="AF62" s="45" t="n"/>
      <c r="AG62" s="42">
        <f>IF(AD62="","",AD62-IF(AE62="",0,AE62)-IF(AF62="",0,AF62))</f>
        <v/>
      </c>
      <c r="AH62" s="26">
        <f>IFERROR(AG62/U62,"")</f>
        <v/>
      </c>
      <c r="AI62" s="29" t="n"/>
      <c r="AJ62" s="29" t="n"/>
      <c r="AK62" s="29" t="n"/>
      <c r="AL62" s="29" t="n"/>
    </row>
    <row r="63">
      <c r="A63" s="20">
        <f>IF(B63="","","TR-"&amp;TEXT(ROW()-2,"0000"))</f>
        <v/>
      </c>
      <c r="B63" s="39" t="n"/>
      <c r="C63" s="40" t="n"/>
      <c r="D63" s="40" t="n"/>
      <c r="E63" s="23" t="n"/>
      <c r="F63" s="23" t="n"/>
      <c r="G63" s="23" t="n"/>
      <c r="H63" s="23" t="n"/>
      <c r="I63" s="23" t="n"/>
      <c r="J63" s="23" t="n"/>
      <c r="K63" s="23" t="n"/>
      <c r="L63" s="41" t="n"/>
      <c r="M63" s="41" t="n"/>
      <c r="N63" s="41" t="n"/>
      <c r="O63" s="41" t="n"/>
      <c r="P63" s="41" t="n"/>
      <c r="Q63" s="41" t="n"/>
      <c r="R63" s="23" t="n"/>
      <c r="S63" s="23" t="n"/>
      <c r="T63" s="42">
        <f>IF(OR(L63="",M63=""),"",IFERROR(Settings!$B$3*Settings!$B$5,0))</f>
        <v/>
      </c>
      <c r="U63" s="42">
        <f>IF(OR(L63="",M63="",R63=""),"",ABS(L63-M63)*R63*IF(S63="",1,S63))</f>
        <v/>
      </c>
      <c r="V63" s="26">
        <f>IFERROR(ABS(N63-L63)/ABS(L63-M63),"")</f>
        <v/>
      </c>
      <c r="W63" s="23" t="n"/>
      <c r="X63" s="23" t="n"/>
      <c r="Y63" s="23" t="n"/>
      <c r="Z63" s="23" t="n"/>
      <c r="AA63" s="23" t="n"/>
      <c r="AB63" s="23" t="n"/>
      <c r="AC63" s="23" t="n"/>
      <c r="AD63" s="42">
        <f>IF(OR(L63="",Q63="",R63=""),"",IF(H63="Long",(Q63-L63)*R63*IF(S63="",1,S63),(L63-Q63)*R63*IF(S63="",1,S63)))</f>
        <v/>
      </c>
      <c r="AE63" s="41" t="n"/>
      <c r="AF63" s="41" t="n"/>
      <c r="AG63" s="42">
        <f>IF(AD63="","",AD63-IF(AE63="",0,AE63)-IF(AF63="",0,AF63))</f>
        <v/>
      </c>
      <c r="AH63" s="26">
        <f>IFERROR(AG63/U63,"")</f>
        <v/>
      </c>
      <c r="AI63" s="23" t="n"/>
      <c r="AJ63" s="23" t="n"/>
      <c r="AK63" s="23" t="n"/>
      <c r="AL63" s="23" t="n"/>
    </row>
    <row r="64">
      <c r="A64" s="20">
        <f>IF(B64="","","TR-"&amp;TEXT(ROW()-2,"0000"))</f>
        <v/>
      </c>
      <c r="B64" s="43" t="n"/>
      <c r="C64" s="44" t="n"/>
      <c r="D64" s="44" t="n"/>
      <c r="E64" s="29" t="n"/>
      <c r="F64" s="29" t="n"/>
      <c r="G64" s="29" t="n"/>
      <c r="H64" s="29" t="n"/>
      <c r="I64" s="29" t="n"/>
      <c r="J64" s="29" t="n"/>
      <c r="K64" s="29" t="n"/>
      <c r="L64" s="45" t="n"/>
      <c r="M64" s="45" t="n"/>
      <c r="N64" s="45" t="n"/>
      <c r="O64" s="45" t="n"/>
      <c r="P64" s="45" t="n"/>
      <c r="Q64" s="45" t="n"/>
      <c r="R64" s="29" t="n"/>
      <c r="S64" s="29" t="n"/>
      <c r="T64" s="42">
        <f>IF(OR(L64="",M64=""),"",IFERROR(Settings!$B$3*Settings!$B$5,0))</f>
        <v/>
      </c>
      <c r="U64" s="42">
        <f>IF(OR(L64="",M64="",R64=""),"",ABS(L64-M64)*R64*IF(S64="",1,S64))</f>
        <v/>
      </c>
      <c r="V64" s="26">
        <f>IFERROR(ABS(N64-L64)/ABS(L64-M64),"")</f>
        <v/>
      </c>
      <c r="W64" s="29" t="n"/>
      <c r="X64" s="29" t="n"/>
      <c r="Y64" s="29" t="n"/>
      <c r="Z64" s="29" t="n"/>
      <c r="AA64" s="29" t="n"/>
      <c r="AB64" s="29" t="n"/>
      <c r="AC64" s="29" t="n"/>
      <c r="AD64" s="42">
        <f>IF(OR(L64="",Q64="",R64=""),"",IF(H64="Long",(Q64-L64)*R64*IF(S64="",1,S64),(L64-Q64)*R64*IF(S64="",1,S64)))</f>
        <v/>
      </c>
      <c r="AE64" s="45" t="n"/>
      <c r="AF64" s="45" t="n"/>
      <c r="AG64" s="42">
        <f>IF(AD64="","",AD64-IF(AE64="",0,AE64)-IF(AF64="",0,AF64))</f>
        <v/>
      </c>
      <c r="AH64" s="26">
        <f>IFERROR(AG64/U64,"")</f>
        <v/>
      </c>
      <c r="AI64" s="29" t="n"/>
      <c r="AJ64" s="29" t="n"/>
      <c r="AK64" s="29" t="n"/>
      <c r="AL64" s="29" t="n"/>
    </row>
    <row r="65">
      <c r="A65" s="20">
        <f>IF(B65="","","TR-"&amp;TEXT(ROW()-2,"0000"))</f>
        <v/>
      </c>
      <c r="B65" s="39" t="n"/>
      <c r="C65" s="40" t="n"/>
      <c r="D65" s="40" t="n"/>
      <c r="E65" s="23" t="n"/>
      <c r="F65" s="23" t="n"/>
      <c r="G65" s="23" t="n"/>
      <c r="H65" s="23" t="n"/>
      <c r="I65" s="23" t="n"/>
      <c r="J65" s="23" t="n"/>
      <c r="K65" s="23" t="n"/>
      <c r="L65" s="41" t="n"/>
      <c r="M65" s="41" t="n"/>
      <c r="N65" s="41" t="n"/>
      <c r="O65" s="41" t="n"/>
      <c r="P65" s="41" t="n"/>
      <c r="Q65" s="41" t="n"/>
      <c r="R65" s="23" t="n"/>
      <c r="S65" s="23" t="n"/>
      <c r="T65" s="42">
        <f>IF(OR(L65="",M65=""),"",IFERROR(Settings!$B$3*Settings!$B$5,0))</f>
        <v/>
      </c>
      <c r="U65" s="42">
        <f>IF(OR(L65="",M65="",R65=""),"",ABS(L65-M65)*R65*IF(S65="",1,S65))</f>
        <v/>
      </c>
      <c r="V65" s="26">
        <f>IFERROR(ABS(N65-L65)/ABS(L65-M65),"")</f>
        <v/>
      </c>
      <c r="W65" s="23" t="n"/>
      <c r="X65" s="23" t="n"/>
      <c r="Y65" s="23" t="n"/>
      <c r="Z65" s="23" t="n"/>
      <c r="AA65" s="23" t="n"/>
      <c r="AB65" s="23" t="n"/>
      <c r="AC65" s="23" t="n"/>
      <c r="AD65" s="42">
        <f>IF(OR(L65="",Q65="",R65=""),"",IF(H65="Long",(Q65-L65)*R65*IF(S65="",1,S65),(L65-Q65)*R65*IF(S65="",1,S65)))</f>
        <v/>
      </c>
      <c r="AE65" s="41" t="n"/>
      <c r="AF65" s="41" t="n"/>
      <c r="AG65" s="42">
        <f>IF(AD65="","",AD65-IF(AE65="",0,AE65)-IF(AF65="",0,AF65))</f>
        <v/>
      </c>
      <c r="AH65" s="26">
        <f>IFERROR(AG65/U65,"")</f>
        <v/>
      </c>
      <c r="AI65" s="23" t="n"/>
      <c r="AJ65" s="23" t="n"/>
      <c r="AK65" s="23" t="n"/>
      <c r="AL65" s="23" t="n"/>
    </row>
    <row r="66">
      <c r="A66" s="20">
        <f>IF(B66="","","TR-"&amp;TEXT(ROW()-2,"0000"))</f>
        <v/>
      </c>
      <c r="B66" s="43" t="n"/>
      <c r="C66" s="44" t="n"/>
      <c r="D66" s="44" t="n"/>
      <c r="E66" s="29" t="n"/>
      <c r="F66" s="29" t="n"/>
      <c r="G66" s="29" t="n"/>
      <c r="H66" s="29" t="n"/>
      <c r="I66" s="29" t="n"/>
      <c r="J66" s="29" t="n"/>
      <c r="K66" s="29" t="n"/>
      <c r="L66" s="45" t="n"/>
      <c r="M66" s="45" t="n"/>
      <c r="N66" s="45" t="n"/>
      <c r="O66" s="45" t="n"/>
      <c r="P66" s="45" t="n"/>
      <c r="Q66" s="45" t="n"/>
      <c r="R66" s="29" t="n"/>
      <c r="S66" s="29" t="n"/>
      <c r="T66" s="42">
        <f>IF(OR(L66="",M66=""),"",IFERROR(Settings!$B$3*Settings!$B$5,0))</f>
        <v/>
      </c>
      <c r="U66" s="42">
        <f>IF(OR(L66="",M66="",R66=""),"",ABS(L66-M66)*R66*IF(S66="",1,S66))</f>
        <v/>
      </c>
      <c r="V66" s="26">
        <f>IFERROR(ABS(N66-L66)/ABS(L66-M66),"")</f>
        <v/>
      </c>
      <c r="W66" s="29" t="n"/>
      <c r="X66" s="29" t="n"/>
      <c r="Y66" s="29" t="n"/>
      <c r="Z66" s="29" t="n"/>
      <c r="AA66" s="29" t="n"/>
      <c r="AB66" s="29" t="n"/>
      <c r="AC66" s="29" t="n"/>
      <c r="AD66" s="42">
        <f>IF(OR(L66="",Q66="",R66=""),"",IF(H66="Long",(Q66-L66)*R66*IF(S66="",1,S66),(L66-Q66)*R66*IF(S66="",1,S66)))</f>
        <v/>
      </c>
      <c r="AE66" s="45" t="n"/>
      <c r="AF66" s="45" t="n"/>
      <c r="AG66" s="42">
        <f>IF(AD66="","",AD66-IF(AE66="",0,AE66)-IF(AF66="",0,AF66))</f>
        <v/>
      </c>
      <c r="AH66" s="26">
        <f>IFERROR(AG66/U66,"")</f>
        <v/>
      </c>
      <c r="AI66" s="29" t="n"/>
      <c r="AJ66" s="29" t="n"/>
      <c r="AK66" s="29" t="n"/>
      <c r="AL66" s="29" t="n"/>
    </row>
    <row r="67">
      <c r="A67" s="20">
        <f>IF(B67="","","TR-"&amp;TEXT(ROW()-2,"0000"))</f>
        <v/>
      </c>
      <c r="B67" s="39" t="n"/>
      <c r="C67" s="40" t="n"/>
      <c r="D67" s="40" t="n"/>
      <c r="E67" s="23" t="n"/>
      <c r="F67" s="23" t="n"/>
      <c r="G67" s="23" t="n"/>
      <c r="H67" s="23" t="n"/>
      <c r="I67" s="23" t="n"/>
      <c r="J67" s="23" t="n"/>
      <c r="K67" s="23" t="n"/>
      <c r="L67" s="41" t="n"/>
      <c r="M67" s="41" t="n"/>
      <c r="N67" s="41" t="n"/>
      <c r="O67" s="41" t="n"/>
      <c r="P67" s="41" t="n"/>
      <c r="Q67" s="41" t="n"/>
      <c r="R67" s="23" t="n"/>
      <c r="S67" s="23" t="n"/>
      <c r="T67" s="42">
        <f>IF(OR(L67="",M67=""),"",IFERROR(Settings!$B$3*Settings!$B$5,0))</f>
        <v/>
      </c>
      <c r="U67" s="42">
        <f>IF(OR(L67="",M67="",R67=""),"",ABS(L67-M67)*R67*IF(S67="",1,S67))</f>
        <v/>
      </c>
      <c r="V67" s="26">
        <f>IFERROR(ABS(N67-L67)/ABS(L67-M67),"")</f>
        <v/>
      </c>
      <c r="W67" s="23" t="n"/>
      <c r="X67" s="23" t="n"/>
      <c r="Y67" s="23" t="n"/>
      <c r="Z67" s="23" t="n"/>
      <c r="AA67" s="23" t="n"/>
      <c r="AB67" s="23" t="n"/>
      <c r="AC67" s="23" t="n"/>
      <c r="AD67" s="42">
        <f>IF(OR(L67="",Q67="",R67=""),"",IF(H67="Long",(Q67-L67)*R67*IF(S67="",1,S67),(L67-Q67)*R67*IF(S67="",1,S67)))</f>
        <v/>
      </c>
      <c r="AE67" s="41" t="n"/>
      <c r="AF67" s="41" t="n"/>
      <c r="AG67" s="42">
        <f>IF(AD67="","",AD67-IF(AE67="",0,AE67)-IF(AF67="",0,AF67))</f>
        <v/>
      </c>
      <c r="AH67" s="26">
        <f>IFERROR(AG67/U67,"")</f>
        <v/>
      </c>
      <c r="AI67" s="23" t="n"/>
      <c r="AJ67" s="23" t="n"/>
      <c r="AK67" s="23" t="n"/>
      <c r="AL67" s="23" t="n"/>
    </row>
    <row r="68">
      <c r="A68" s="20">
        <f>IF(B68="","","TR-"&amp;TEXT(ROW()-2,"0000"))</f>
        <v/>
      </c>
      <c r="B68" s="43" t="n"/>
      <c r="C68" s="44" t="n"/>
      <c r="D68" s="44" t="n"/>
      <c r="E68" s="29" t="n"/>
      <c r="F68" s="29" t="n"/>
      <c r="G68" s="29" t="n"/>
      <c r="H68" s="29" t="n"/>
      <c r="I68" s="29" t="n"/>
      <c r="J68" s="29" t="n"/>
      <c r="K68" s="29" t="n"/>
      <c r="L68" s="45" t="n"/>
      <c r="M68" s="45" t="n"/>
      <c r="N68" s="45" t="n"/>
      <c r="O68" s="45" t="n"/>
      <c r="P68" s="45" t="n"/>
      <c r="Q68" s="45" t="n"/>
      <c r="R68" s="29" t="n"/>
      <c r="S68" s="29" t="n"/>
      <c r="T68" s="42">
        <f>IF(OR(L68="",M68=""),"",IFERROR(Settings!$B$3*Settings!$B$5,0))</f>
        <v/>
      </c>
      <c r="U68" s="42">
        <f>IF(OR(L68="",M68="",R68=""),"",ABS(L68-M68)*R68*IF(S68="",1,S68))</f>
        <v/>
      </c>
      <c r="V68" s="26">
        <f>IFERROR(ABS(N68-L68)/ABS(L68-M68),"")</f>
        <v/>
      </c>
      <c r="W68" s="29" t="n"/>
      <c r="X68" s="29" t="n"/>
      <c r="Y68" s="29" t="n"/>
      <c r="Z68" s="29" t="n"/>
      <c r="AA68" s="29" t="n"/>
      <c r="AB68" s="29" t="n"/>
      <c r="AC68" s="29" t="n"/>
      <c r="AD68" s="42">
        <f>IF(OR(L68="",Q68="",R68=""),"",IF(H68="Long",(Q68-L68)*R68*IF(S68="",1,S68),(L68-Q68)*R68*IF(S68="",1,S68)))</f>
        <v/>
      </c>
      <c r="AE68" s="45" t="n"/>
      <c r="AF68" s="45" t="n"/>
      <c r="AG68" s="42">
        <f>IF(AD68="","",AD68-IF(AE68="",0,AE68)-IF(AF68="",0,AF68))</f>
        <v/>
      </c>
      <c r="AH68" s="26">
        <f>IFERROR(AG68/U68,"")</f>
        <v/>
      </c>
      <c r="AI68" s="29" t="n"/>
      <c r="AJ68" s="29" t="n"/>
      <c r="AK68" s="29" t="n"/>
      <c r="AL68" s="29" t="n"/>
    </row>
    <row r="69">
      <c r="A69" s="20">
        <f>IF(B69="","","TR-"&amp;TEXT(ROW()-2,"0000"))</f>
        <v/>
      </c>
      <c r="B69" s="39" t="n"/>
      <c r="C69" s="40" t="n"/>
      <c r="D69" s="40" t="n"/>
      <c r="E69" s="23" t="n"/>
      <c r="F69" s="23" t="n"/>
      <c r="G69" s="23" t="n"/>
      <c r="H69" s="23" t="n"/>
      <c r="I69" s="23" t="n"/>
      <c r="J69" s="23" t="n"/>
      <c r="K69" s="23" t="n"/>
      <c r="L69" s="41" t="n"/>
      <c r="M69" s="41" t="n"/>
      <c r="N69" s="41" t="n"/>
      <c r="O69" s="41" t="n"/>
      <c r="P69" s="41" t="n"/>
      <c r="Q69" s="41" t="n"/>
      <c r="R69" s="23" t="n"/>
      <c r="S69" s="23" t="n"/>
      <c r="T69" s="42">
        <f>IF(OR(L69="",M69=""),"",IFERROR(Settings!$B$3*Settings!$B$5,0))</f>
        <v/>
      </c>
      <c r="U69" s="42">
        <f>IF(OR(L69="",M69="",R69=""),"",ABS(L69-M69)*R69*IF(S69="",1,S69))</f>
        <v/>
      </c>
      <c r="V69" s="26">
        <f>IFERROR(ABS(N69-L69)/ABS(L69-M69),"")</f>
        <v/>
      </c>
      <c r="W69" s="23" t="n"/>
      <c r="X69" s="23" t="n"/>
      <c r="Y69" s="23" t="n"/>
      <c r="Z69" s="23" t="n"/>
      <c r="AA69" s="23" t="n"/>
      <c r="AB69" s="23" t="n"/>
      <c r="AC69" s="23" t="n"/>
      <c r="AD69" s="42">
        <f>IF(OR(L69="",Q69="",R69=""),"",IF(H69="Long",(Q69-L69)*R69*IF(S69="",1,S69),(L69-Q69)*R69*IF(S69="",1,S69)))</f>
        <v/>
      </c>
      <c r="AE69" s="41" t="n"/>
      <c r="AF69" s="41" t="n"/>
      <c r="AG69" s="42">
        <f>IF(AD69="","",AD69-IF(AE69="",0,AE69)-IF(AF69="",0,AF69))</f>
        <v/>
      </c>
      <c r="AH69" s="26">
        <f>IFERROR(AG69/U69,"")</f>
        <v/>
      </c>
      <c r="AI69" s="23" t="n"/>
      <c r="AJ69" s="23" t="n"/>
      <c r="AK69" s="23" t="n"/>
      <c r="AL69" s="23" t="n"/>
    </row>
    <row r="70">
      <c r="A70" s="20">
        <f>IF(B70="","","TR-"&amp;TEXT(ROW()-2,"0000"))</f>
        <v/>
      </c>
      <c r="B70" s="43" t="n"/>
      <c r="C70" s="44" t="n"/>
      <c r="D70" s="44" t="n"/>
      <c r="E70" s="29" t="n"/>
      <c r="F70" s="29" t="n"/>
      <c r="G70" s="29" t="n"/>
      <c r="H70" s="29" t="n"/>
      <c r="I70" s="29" t="n"/>
      <c r="J70" s="29" t="n"/>
      <c r="K70" s="29" t="n"/>
      <c r="L70" s="45" t="n"/>
      <c r="M70" s="45" t="n"/>
      <c r="N70" s="45" t="n"/>
      <c r="O70" s="45" t="n"/>
      <c r="P70" s="45" t="n"/>
      <c r="Q70" s="45" t="n"/>
      <c r="R70" s="29" t="n"/>
      <c r="S70" s="29" t="n"/>
      <c r="T70" s="42">
        <f>IF(OR(L70="",M70=""),"",IFERROR(Settings!$B$3*Settings!$B$5,0))</f>
        <v/>
      </c>
      <c r="U70" s="42">
        <f>IF(OR(L70="",M70="",R70=""),"",ABS(L70-M70)*R70*IF(S70="",1,S70))</f>
        <v/>
      </c>
      <c r="V70" s="26">
        <f>IFERROR(ABS(N70-L70)/ABS(L70-M70),"")</f>
        <v/>
      </c>
      <c r="W70" s="29" t="n"/>
      <c r="X70" s="29" t="n"/>
      <c r="Y70" s="29" t="n"/>
      <c r="Z70" s="29" t="n"/>
      <c r="AA70" s="29" t="n"/>
      <c r="AB70" s="29" t="n"/>
      <c r="AC70" s="29" t="n"/>
      <c r="AD70" s="42">
        <f>IF(OR(L70="",Q70="",R70=""),"",IF(H70="Long",(Q70-L70)*R70*IF(S70="",1,S70),(L70-Q70)*R70*IF(S70="",1,S70)))</f>
        <v/>
      </c>
      <c r="AE70" s="45" t="n"/>
      <c r="AF70" s="45" t="n"/>
      <c r="AG70" s="42">
        <f>IF(AD70="","",AD70-IF(AE70="",0,AE70)-IF(AF70="",0,AF70))</f>
        <v/>
      </c>
      <c r="AH70" s="26">
        <f>IFERROR(AG70/U70,"")</f>
        <v/>
      </c>
      <c r="AI70" s="29" t="n"/>
      <c r="AJ70" s="29" t="n"/>
      <c r="AK70" s="29" t="n"/>
      <c r="AL70" s="29" t="n"/>
    </row>
    <row r="71">
      <c r="A71" s="20">
        <f>IF(B71="","","TR-"&amp;TEXT(ROW()-2,"0000"))</f>
        <v/>
      </c>
      <c r="B71" s="39" t="n"/>
      <c r="C71" s="40" t="n"/>
      <c r="D71" s="40" t="n"/>
      <c r="E71" s="23" t="n"/>
      <c r="F71" s="23" t="n"/>
      <c r="G71" s="23" t="n"/>
      <c r="H71" s="23" t="n"/>
      <c r="I71" s="23" t="n"/>
      <c r="J71" s="23" t="n"/>
      <c r="K71" s="23" t="n"/>
      <c r="L71" s="41" t="n"/>
      <c r="M71" s="41" t="n"/>
      <c r="N71" s="41" t="n"/>
      <c r="O71" s="41" t="n"/>
      <c r="P71" s="41" t="n"/>
      <c r="Q71" s="41" t="n"/>
      <c r="R71" s="23" t="n"/>
      <c r="S71" s="23" t="n"/>
      <c r="T71" s="42">
        <f>IF(OR(L71="",M71=""),"",IFERROR(Settings!$B$3*Settings!$B$5,0))</f>
        <v/>
      </c>
      <c r="U71" s="42">
        <f>IF(OR(L71="",M71="",R71=""),"",ABS(L71-M71)*R71*IF(S71="",1,S71))</f>
        <v/>
      </c>
      <c r="V71" s="26">
        <f>IFERROR(ABS(N71-L71)/ABS(L71-M71),"")</f>
        <v/>
      </c>
      <c r="W71" s="23" t="n"/>
      <c r="X71" s="23" t="n"/>
      <c r="Y71" s="23" t="n"/>
      <c r="Z71" s="23" t="n"/>
      <c r="AA71" s="23" t="n"/>
      <c r="AB71" s="23" t="n"/>
      <c r="AC71" s="23" t="n"/>
      <c r="AD71" s="42">
        <f>IF(OR(L71="",Q71="",R71=""),"",IF(H71="Long",(Q71-L71)*R71*IF(S71="",1,S71),(L71-Q71)*R71*IF(S71="",1,S71)))</f>
        <v/>
      </c>
      <c r="AE71" s="41" t="n"/>
      <c r="AF71" s="41" t="n"/>
      <c r="AG71" s="42">
        <f>IF(AD71="","",AD71-IF(AE71="",0,AE71)-IF(AF71="",0,AF71))</f>
        <v/>
      </c>
      <c r="AH71" s="26">
        <f>IFERROR(AG71/U71,"")</f>
        <v/>
      </c>
      <c r="AI71" s="23" t="n"/>
      <c r="AJ71" s="23" t="n"/>
      <c r="AK71" s="23" t="n"/>
      <c r="AL71" s="23" t="n"/>
    </row>
    <row r="72">
      <c r="A72" s="20">
        <f>IF(B72="","","TR-"&amp;TEXT(ROW()-2,"0000"))</f>
        <v/>
      </c>
      <c r="B72" s="43" t="n"/>
      <c r="C72" s="44" t="n"/>
      <c r="D72" s="44" t="n"/>
      <c r="E72" s="29" t="n"/>
      <c r="F72" s="29" t="n"/>
      <c r="G72" s="29" t="n"/>
      <c r="H72" s="29" t="n"/>
      <c r="I72" s="29" t="n"/>
      <c r="J72" s="29" t="n"/>
      <c r="K72" s="29" t="n"/>
      <c r="L72" s="45" t="n"/>
      <c r="M72" s="45" t="n"/>
      <c r="N72" s="45" t="n"/>
      <c r="O72" s="45" t="n"/>
      <c r="P72" s="45" t="n"/>
      <c r="Q72" s="45" t="n"/>
      <c r="R72" s="29" t="n"/>
      <c r="S72" s="29" t="n"/>
      <c r="T72" s="42">
        <f>IF(OR(L72="",M72=""),"",IFERROR(Settings!$B$3*Settings!$B$5,0))</f>
        <v/>
      </c>
      <c r="U72" s="42">
        <f>IF(OR(L72="",M72="",R72=""),"",ABS(L72-M72)*R72*IF(S72="",1,S72))</f>
        <v/>
      </c>
      <c r="V72" s="26">
        <f>IFERROR(ABS(N72-L72)/ABS(L72-M72),"")</f>
        <v/>
      </c>
      <c r="W72" s="29" t="n"/>
      <c r="X72" s="29" t="n"/>
      <c r="Y72" s="29" t="n"/>
      <c r="Z72" s="29" t="n"/>
      <c r="AA72" s="29" t="n"/>
      <c r="AB72" s="29" t="n"/>
      <c r="AC72" s="29" t="n"/>
      <c r="AD72" s="42">
        <f>IF(OR(L72="",Q72="",R72=""),"",IF(H72="Long",(Q72-L72)*R72*IF(S72="",1,S72),(L72-Q72)*R72*IF(S72="",1,S72)))</f>
        <v/>
      </c>
      <c r="AE72" s="45" t="n"/>
      <c r="AF72" s="45" t="n"/>
      <c r="AG72" s="42">
        <f>IF(AD72="","",AD72-IF(AE72="",0,AE72)-IF(AF72="",0,AF72))</f>
        <v/>
      </c>
      <c r="AH72" s="26">
        <f>IFERROR(AG72/U72,"")</f>
        <v/>
      </c>
      <c r="AI72" s="29" t="n"/>
      <c r="AJ72" s="29" t="n"/>
      <c r="AK72" s="29" t="n"/>
      <c r="AL72" s="29" t="n"/>
    </row>
    <row r="73">
      <c r="A73" s="20">
        <f>IF(B73="","","TR-"&amp;TEXT(ROW()-2,"0000"))</f>
        <v/>
      </c>
      <c r="B73" s="39" t="n"/>
      <c r="C73" s="40" t="n"/>
      <c r="D73" s="40" t="n"/>
      <c r="E73" s="23" t="n"/>
      <c r="F73" s="23" t="n"/>
      <c r="G73" s="23" t="n"/>
      <c r="H73" s="23" t="n"/>
      <c r="I73" s="23" t="n"/>
      <c r="J73" s="23" t="n"/>
      <c r="K73" s="23" t="n"/>
      <c r="L73" s="41" t="n"/>
      <c r="M73" s="41" t="n"/>
      <c r="N73" s="41" t="n"/>
      <c r="O73" s="41" t="n"/>
      <c r="P73" s="41" t="n"/>
      <c r="Q73" s="41" t="n"/>
      <c r="R73" s="23" t="n"/>
      <c r="S73" s="23" t="n"/>
      <c r="T73" s="42">
        <f>IF(OR(L73="",M73=""),"",IFERROR(Settings!$B$3*Settings!$B$5,0))</f>
        <v/>
      </c>
      <c r="U73" s="42">
        <f>IF(OR(L73="",M73="",R73=""),"",ABS(L73-M73)*R73*IF(S73="",1,S73))</f>
        <v/>
      </c>
      <c r="V73" s="26">
        <f>IFERROR(ABS(N73-L73)/ABS(L73-M73),"")</f>
        <v/>
      </c>
      <c r="W73" s="23" t="n"/>
      <c r="X73" s="23" t="n"/>
      <c r="Y73" s="23" t="n"/>
      <c r="Z73" s="23" t="n"/>
      <c r="AA73" s="23" t="n"/>
      <c r="AB73" s="23" t="n"/>
      <c r="AC73" s="23" t="n"/>
      <c r="AD73" s="42">
        <f>IF(OR(L73="",Q73="",R73=""),"",IF(H73="Long",(Q73-L73)*R73*IF(S73="",1,S73),(L73-Q73)*R73*IF(S73="",1,S73)))</f>
        <v/>
      </c>
      <c r="AE73" s="41" t="n"/>
      <c r="AF73" s="41" t="n"/>
      <c r="AG73" s="42">
        <f>IF(AD73="","",AD73-IF(AE73="",0,AE73)-IF(AF73="",0,AF73))</f>
        <v/>
      </c>
      <c r="AH73" s="26">
        <f>IFERROR(AG73/U73,"")</f>
        <v/>
      </c>
      <c r="AI73" s="23" t="n"/>
      <c r="AJ73" s="23" t="n"/>
      <c r="AK73" s="23" t="n"/>
      <c r="AL73" s="23" t="n"/>
    </row>
    <row r="74">
      <c r="A74" s="20">
        <f>IF(B74="","","TR-"&amp;TEXT(ROW()-2,"0000"))</f>
        <v/>
      </c>
      <c r="B74" s="43" t="n"/>
      <c r="C74" s="44" t="n"/>
      <c r="D74" s="44" t="n"/>
      <c r="E74" s="29" t="n"/>
      <c r="F74" s="29" t="n"/>
      <c r="G74" s="29" t="n"/>
      <c r="H74" s="29" t="n"/>
      <c r="I74" s="29" t="n"/>
      <c r="J74" s="29" t="n"/>
      <c r="K74" s="29" t="n"/>
      <c r="L74" s="45" t="n"/>
      <c r="M74" s="45" t="n"/>
      <c r="N74" s="45" t="n"/>
      <c r="O74" s="45" t="n"/>
      <c r="P74" s="45" t="n"/>
      <c r="Q74" s="45" t="n"/>
      <c r="R74" s="29" t="n"/>
      <c r="S74" s="29" t="n"/>
      <c r="T74" s="42">
        <f>IF(OR(L74="",M74=""),"",IFERROR(Settings!$B$3*Settings!$B$5,0))</f>
        <v/>
      </c>
      <c r="U74" s="42">
        <f>IF(OR(L74="",M74="",R74=""),"",ABS(L74-M74)*R74*IF(S74="",1,S74))</f>
        <v/>
      </c>
      <c r="V74" s="26">
        <f>IFERROR(ABS(N74-L74)/ABS(L74-M74),"")</f>
        <v/>
      </c>
      <c r="W74" s="29" t="n"/>
      <c r="X74" s="29" t="n"/>
      <c r="Y74" s="29" t="n"/>
      <c r="Z74" s="29" t="n"/>
      <c r="AA74" s="29" t="n"/>
      <c r="AB74" s="29" t="n"/>
      <c r="AC74" s="29" t="n"/>
      <c r="AD74" s="42">
        <f>IF(OR(L74="",Q74="",R74=""),"",IF(H74="Long",(Q74-L74)*R74*IF(S74="",1,S74),(L74-Q74)*R74*IF(S74="",1,S74)))</f>
        <v/>
      </c>
      <c r="AE74" s="45" t="n"/>
      <c r="AF74" s="45" t="n"/>
      <c r="AG74" s="42">
        <f>IF(AD74="","",AD74-IF(AE74="",0,AE74)-IF(AF74="",0,AF74))</f>
        <v/>
      </c>
      <c r="AH74" s="26">
        <f>IFERROR(AG74/U74,"")</f>
        <v/>
      </c>
      <c r="AI74" s="29" t="n"/>
      <c r="AJ74" s="29" t="n"/>
      <c r="AK74" s="29" t="n"/>
      <c r="AL74" s="29" t="n"/>
    </row>
    <row r="75">
      <c r="A75" s="20">
        <f>IF(B75="","","TR-"&amp;TEXT(ROW()-2,"0000"))</f>
        <v/>
      </c>
      <c r="B75" s="39" t="n"/>
      <c r="C75" s="40" t="n"/>
      <c r="D75" s="40" t="n"/>
      <c r="E75" s="23" t="n"/>
      <c r="F75" s="23" t="n"/>
      <c r="G75" s="23" t="n"/>
      <c r="H75" s="23" t="n"/>
      <c r="I75" s="23" t="n"/>
      <c r="J75" s="23" t="n"/>
      <c r="K75" s="23" t="n"/>
      <c r="L75" s="41" t="n"/>
      <c r="M75" s="41" t="n"/>
      <c r="N75" s="41" t="n"/>
      <c r="O75" s="41" t="n"/>
      <c r="P75" s="41" t="n"/>
      <c r="Q75" s="41" t="n"/>
      <c r="R75" s="23" t="n"/>
      <c r="S75" s="23" t="n"/>
      <c r="T75" s="42">
        <f>IF(OR(L75="",M75=""),"",IFERROR(Settings!$B$3*Settings!$B$5,0))</f>
        <v/>
      </c>
      <c r="U75" s="42">
        <f>IF(OR(L75="",M75="",R75=""),"",ABS(L75-M75)*R75*IF(S75="",1,S75))</f>
        <v/>
      </c>
      <c r="V75" s="26">
        <f>IFERROR(ABS(N75-L75)/ABS(L75-M75),"")</f>
        <v/>
      </c>
      <c r="W75" s="23" t="n"/>
      <c r="X75" s="23" t="n"/>
      <c r="Y75" s="23" t="n"/>
      <c r="Z75" s="23" t="n"/>
      <c r="AA75" s="23" t="n"/>
      <c r="AB75" s="23" t="n"/>
      <c r="AC75" s="23" t="n"/>
      <c r="AD75" s="42">
        <f>IF(OR(L75="",Q75="",R75=""),"",IF(H75="Long",(Q75-L75)*R75*IF(S75="",1,S75),(L75-Q75)*R75*IF(S75="",1,S75)))</f>
        <v/>
      </c>
      <c r="AE75" s="41" t="n"/>
      <c r="AF75" s="41" t="n"/>
      <c r="AG75" s="42">
        <f>IF(AD75="","",AD75-IF(AE75="",0,AE75)-IF(AF75="",0,AF75))</f>
        <v/>
      </c>
      <c r="AH75" s="26">
        <f>IFERROR(AG75/U75,"")</f>
        <v/>
      </c>
      <c r="AI75" s="23" t="n"/>
      <c r="AJ75" s="23" t="n"/>
      <c r="AK75" s="23" t="n"/>
      <c r="AL75" s="23" t="n"/>
    </row>
    <row r="76">
      <c r="A76" s="20">
        <f>IF(B76="","","TR-"&amp;TEXT(ROW()-2,"0000"))</f>
        <v/>
      </c>
      <c r="B76" s="43" t="n"/>
      <c r="C76" s="44" t="n"/>
      <c r="D76" s="44" t="n"/>
      <c r="E76" s="29" t="n"/>
      <c r="F76" s="29" t="n"/>
      <c r="G76" s="29" t="n"/>
      <c r="H76" s="29" t="n"/>
      <c r="I76" s="29" t="n"/>
      <c r="J76" s="29" t="n"/>
      <c r="K76" s="29" t="n"/>
      <c r="L76" s="45" t="n"/>
      <c r="M76" s="45" t="n"/>
      <c r="N76" s="45" t="n"/>
      <c r="O76" s="45" t="n"/>
      <c r="P76" s="45" t="n"/>
      <c r="Q76" s="45" t="n"/>
      <c r="R76" s="29" t="n"/>
      <c r="S76" s="29" t="n"/>
      <c r="T76" s="42">
        <f>IF(OR(L76="",M76=""),"",IFERROR(Settings!$B$3*Settings!$B$5,0))</f>
        <v/>
      </c>
      <c r="U76" s="42">
        <f>IF(OR(L76="",M76="",R76=""),"",ABS(L76-M76)*R76*IF(S76="",1,S76))</f>
        <v/>
      </c>
      <c r="V76" s="26">
        <f>IFERROR(ABS(N76-L76)/ABS(L76-M76),"")</f>
        <v/>
      </c>
      <c r="W76" s="29" t="n"/>
      <c r="X76" s="29" t="n"/>
      <c r="Y76" s="29" t="n"/>
      <c r="Z76" s="29" t="n"/>
      <c r="AA76" s="29" t="n"/>
      <c r="AB76" s="29" t="n"/>
      <c r="AC76" s="29" t="n"/>
      <c r="AD76" s="42">
        <f>IF(OR(L76="",Q76="",R76=""),"",IF(H76="Long",(Q76-L76)*R76*IF(S76="",1,S76),(L76-Q76)*R76*IF(S76="",1,S76)))</f>
        <v/>
      </c>
      <c r="AE76" s="45" t="n"/>
      <c r="AF76" s="45" t="n"/>
      <c r="AG76" s="42">
        <f>IF(AD76="","",AD76-IF(AE76="",0,AE76)-IF(AF76="",0,AF76))</f>
        <v/>
      </c>
      <c r="AH76" s="26">
        <f>IFERROR(AG76/U76,"")</f>
        <v/>
      </c>
      <c r="AI76" s="29" t="n"/>
      <c r="AJ76" s="29" t="n"/>
      <c r="AK76" s="29" t="n"/>
      <c r="AL76" s="29" t="n"/>
    </row>
    <row r="77">
      <c r="A77" s="20">
        <f>IF(B77="","","TR-"&amp;TEXT(ROW()-2,"0000"))</f>
        <v/>
      </c>
      <c r="B77" s="39" t="n"/>
      <c r="C77" s="40" t="n"/>
      <c r="D77" s="40" t="n"/>
      <c r="E77" s="23" t="n"/>
      <c r="F77" s="23" t="n"/>
      <c r="G77" s="23" t="n"/>
      <c r="H77" s="23" t="n"/>
      <c r="I77" s="23" t="n"/>
      <c r="J77" s="23" t="n"/>
      <c r="K77" s="23" t="n"/>
      <c r="L77" s="41" t="n"/>
      <c r="M77" s="41" t="n"/>
      <c r="N77" s="41" t="n"/>
      <c r="O77" s="41" t="n"/>
      <c r="P77" s="41" t="n"/>
      <c r="Q77" s="41" t="n"/>
      <c r="R77" s="23" t="n"/>
      <c r="S77" s="23" t="n"/>
      <c r="T77" s="42">
        <f>IF(OR(L77="",M77=""),"",IFERROR(Settings!$B$3*Settings!$B$5,0))</f>
        <v/>
      </c>
      <c r="U77" s="42">
        <f>IF(OR(L77="",M77="",R77=""),"",ABS(L77-M77)*R77*IF(S77="",1,S77))</f>
        <v/>
      </c>
      <c r="V77" s="26">
        <f>IFERROR(ABS(N77-L77)/ABS(L77-M77),"")</f>
        <v/>
      </c>
      <c r="W77" s="23" t="n"/>
      <c r="X77" s="23" t="n"/>
      <c r="Y77" s="23" t="n"/>
      <c r="Z77" s="23" t="n"/>
      <c r="AA77" s="23" t="n"/>
      <c r="AB77" s="23" t="n"/>
      <c r="AC77" s="23" t="n"/>
      <c r="AD77" s="42">
        <f>IF(OR(L77="",Q77="",R77=""),"",IF(H77="Long",(Q77-L77)*R77*IF(S77="",1,S77),(L77-Q77)*R77*IF(S77="",1,S77)))</f>
        <v/>
      </c>
      <c r="AE77" s="41" t="n"/>
      <c r="AF77" s="41" t="n"/>
      <c r="AG77" s="42">
        <f>IF(AD77="","",AD77-IF(AE77="",0,AE77)-IF(AF77="",0,AF77))</f>
        <v/>
      </c>
      <c r="AH77" s="26">
        <f>IFERROR(AG77/U77,"")</f>
        <v/>
      </c>
      <c r="AI77" s="23" t="n"/>
      <c r="AJ77" s="23" t="n"/>
      <c r="AK77" s="23" t="n"/>
      <c r="AL77" s="23" t="n"/>
    </row>
    <row r="78">
      <c r="A78" s="20">
        <f>IF(B78="","","TR-"&amp;TEXT(ROW()-2,"0000"))</f>
        <v/>
      </c>
      <c r="B78" s="43" t="n"/>
      <c r="C78" s="44" t="n"/>
      <c r="D78" s="44" t="n"/>
      <c r="E78" s="29" t="n"/>
      <c r="F78" s="29" t="n"/>
      <c r="G78" s="29" t="n"/>
      <c r="H78" s="29" t="n"/>
      <c r="I78" s="29" t="n"/>
      <c r="J78" s="29" t="n"/>
      <c r="K78" s="29" t="n"/>
      <c r="L78" s="45" t="n"/>
      <c r="M78" s="45" t="n"/>
      <c r="N78" s="45" t="n"/>
      <c r="O78" s="45" t="n"/>
      <c r="P78" s="45" t="n"/>
      <c r="Q78" s="45" t="n"/>
      <c r="R78" s="29" t="n"/>
      <c r="S78" s="29" t="n"/>
      <c r="T78" s="42">
        <f>IF(OR(L78="",M78=""),"",IFERROR(Settings!$B$3*Settings!$B$5,0))</f>
        <v/>
      </c>
      <c r="U78" s="42">
        <f>IF(OR(L78="",M78="",R78=""),"",ABS(L78-M78)*R78*IF(S78="",1,S78))</f>
        <v/>
      </c>
      <c r="V78" s="26">
        <f>IFERROR(ABS(N78-L78)/ABS(L78-M78),"")</f>
        <v/>
      </c>
      <c r="W78" s="29" t="n"/>
      <c r="X78" s="29" t="n"/>
      <c r="Y78" s="29" t="n"/>
      <c r="Z78" s="29" t="n"/>
      <c r="AA78" s="29" t="n"/>
      <c r="AB78" s="29" t="n"/>
      <c r="AC78" s="29" t="n"/>
      <c r="AD78" s="42">
        <f>IF(OR(L78="",Q78="",R78=""),"",IF(H78="Long",(Q78-L78)*R78*IF(S78="",1,S78),(L78-Q78)*R78*IF(S78="",1,S78)))</f>
        <v/>
      </c>
      <c r="AE78" s="45" t="n"/>
      <c r="AF78" s="45" t="n"/>
      <c r="AG78" s="42">
        <f>IF(AD78="","",AD78-IF(AE78="",0,AE78)-IF(AF78="",0,AF78))</f>
        <v/>
      </c>
      <c r="AH78" s="26">
        <f>IFERROR(AG78/U78,"")</f>
        <v/>
      </c>
      <c r="AI78" s="29" t="n"/>
      <c r="AJ78" s="29" t="n"/>
      <c r="AK78" s="29" t="n"/>
      <c r="AL78" s="29" t="n"/>
    </row>
    <row r="79">
      <c r="A79" s="20">
        <f>IF(B79="","","TR-"&amp;TEXT(ROW()-2,"0000"))</f>
        <v/>
      </c>
      <c r="B79" s="39" t="n"/>
      <c r="C79" s="40" t="n"/>
      <c r="D79" s="40" t="n"/>
      <c r="E79" s="23" t="n"/>
      <c r="F79" s="23" t="n"/>
      <c r="G79" s="23" t="n"/>
      <c r="H79" s="23" t="n"/>
      <c r="I79" s="23" t="n"/>
      <c r="J79" s="23" t="n"/>
      <c r="K79" s="23" t="n"/>
      <c r="L79" s="41" t="n"/>
      <c r="M79" s="41" t="n"/>
      <c r="N79" s="41" t="n"/>
      <c r="O79" s="41" t="n"/>
      <c r="P79" s="41" t="n"/>
      <c r="Q79" s="41" t="n"/>
      <c r="R79" s="23" t="n"/>
      <c r="S79" s="23" t="n"/>
      <c r="T79" s="42">
        <f>IF(OR(L79="",M79=""),"",IFERROR(Settings!$B$3*Settings!$B$5,0))</f>
        <v/>
      </c>
      <c r="U79" s="42">
        <f>IF(OR(L79="",M79="",R79=""),"",ABS(L79-M79)*R79*IF(S79="",1,S79))</f>
        <v/>
      </c>
      <c r="V79" s="26">
        <f>IFERROR(ABS(N79-L79)/ABS(L79-M79),"")</f>
        <v/>
      </c>
      <c r="W79" s="23" t="n"/>
      <c r="X79" s="23" t="n"/>
      <c r="Y79" s="23" t="n"/>
      <c r="Z79" s="23" t="n"/>
      <c r="AA79" s="23" t="n"/>
      <c r="AB79" s="23" t="n"/>
      <c r="AC79" s="23" t="n"/>
      <c r="AD79" s="42">
        <f>IF(OR(L79="",Q79="",R79=""),"",IF(H79="Long",(Q79-L79)*R79*IF(S79="",1,S79),(L79-Q79)*R79*IF(S79="",1,S79)))</f>
        <v/>
      </c>
      <c r="AE79" s="41" t="n"/>
      <c r="AF79" s="41" t="n"/>
      <c r="AG79" s="42">
        <f>IF(AD79="","",AD79-IF(AE79="",0,AE79)-IF(AF79="",0,AF79))</f>
        <v/>
      </c>
      <c r="AH79" s="26">
        <f>IFERROR(AG79/U79,"")</f>
        <v/>
      </c>
      <c r="AI79" s="23" t="n"/>
      <c r="AJ79" s="23" t="n"/>
      <c r="AK79" s="23" t="n"/>
      <c r="AL79" s="23" t="n"/>
    </row>
    <row r="80">
      <c r="A80" s="20">
        <f>IF(B80="","","TR-"&amp;TEXT(ROW()-2,"0000"))</f>
        <v/>
      </c>
      <c r="B80" s="43" t="n"/>
      <c r="C80" s="44" t="n"/>
      <c r="D80" s="44" t="n"/>
      <c r="E80" s="29" t="n"/>
      <c r="F80" s="29" t="n"/>
      <c r="G80" s="29" t="n"/>
      <c r="H80" s="29" t="n"/>
      <c r="I80" s="29" t="n"/>
      <c r="J80" s="29" t="n"/>
      <c r="K80" s="29" t="n"/>
      <c r="L80" s="45" t="n"/>
      <c r="M80" s="45" t="n"/>
      <c r="N80" s="45" t="n"/>
      <c r="O80" s="45" t="n"/>
      <c r="P80" s="45" t="n"/>
      <c r="Q80" s="45" t="n"/>
      <c r="R80" s="29" t="n"/>
      <c r="S80" s="29" t="n"/>
      <c r="T80" s="42">
        <f>IF(OR(L80="",M80=""),"",IFERROR(Settings!$B$3*Settings!$B$5,0))</f>
        <v/>
      </c>
      <c r="U80" s="42">
        <f>IF(OR(L80="",M80="",R80=""),"",ABS(L80-M80)*R80*IF(S80="",1,S80))</f>
        <v/>
      </c>
      <c r="V80" s="26">
        <f>IFERROR(ABS(N80-L80)/ABS(L80-M80),"")</f>
        <v/>
      </c>
      <c r="W80" s="29" t="n"/>
      <c r="X80" s="29" t="n"/>
      <c r="Y80" s="29" t="n"/>
      <c r="Z80" s="29" t="n"/>
      <c r="AA80" s="29" t="n"/>
      <c r="AB80" s="29" t="n"/>
      <c r="AC80" s="29" t="n"/>
      <c r="AD80" s="42">
        <f>IF(OR(L80="",Q80="",R80=""),"",IF(H80="Long",(Q80-L80)*R80*IF(S80="",1,S80),(L80-Q80)*R80*IF(S80="",1,S80)))</f>
        <v/>
      </c>
      <c r="AE80" s="45" t="n"/>
      <c r="AF80" s="45" t="n"/>
      <c r="AG80" s="42">
        <f>IF(AD80="","",AD80-IF(AE80="",0,AE80)-IF(AF80="",0,AF80))</f>
        <v/>
      </c>
      <c r="AH80" s="26">
        <f>IFERROR(AG80/U80,"")</f>
        <v/>
      </c>
      <c r="AI80" s="29" t="n"/>
      <c r="AJ80" s="29" t="n"/>
      <c r="AK80" s="29" t="n"/>
      <c r="AL80" s="29" t="n"/>
    </row>
    <row r="81">
      <c r="A81" s="20">
        <f>IF(B81="","","TR-"&amp;TEXT(ROW()-2,"0000"))</f>
        <v/>
      </c>
      <c r="B81" s="39" t="n"/>
      <c r="C81" s="40" t="n"/>
      <c r="D81" s="40" t="n"/>
      <c r="E81" s="23" t="n"/>
      <c r="F81" s="23" t="n"/>
      <c r="G81" s="23" t="n"/>
      <c r="H81" s="23" t="n"/>
      <c r="I81" s="23" t="n"/>
      <c r="J81" s="23" t="n"/>
      <c r="K81" s="23" t="n"/>
      <c r="L81" s="41" t="n"/>
      <c r="M81" s="41" t="n"/>
      <c r="N81" s="41" t="n"/>
      <c r="O81" s="41" t="n"/>
      <c r="P81" s="41" t="n"/>
      <c r="Q81" s="41" t="n"/>
      <c r="R81" s="23" t="n"/>
      <c r="S81" s="23" t="n"/>
      <c r="T81" s="42">
        <f>IF(OR(L81="",M81=""),"",IFERROR(Settings!$B$3*Settings!$B$5,0))</f>
        <v/>
      </c>
      <c r="U81" s="42">
        <f>IF(OR(L81="",M81="",R81=""),"",ABS(L81-M81)*R81*IF(S81="",1,S81))</f>
        <v/>
      </c>
      <c r="V81" s="26">
        <f>IFERROR(ABS(N81-L81)/ABS(L81-M81),"")</f>
        <v/>
      </c>
      <c r="W81" s="23" t="n"/>
      <c r="X81" s="23" t="n"/>
      <c r="Y81" s="23" t="n"/>
      <c r="Z81" s="23" t="n"/>
      <c r="AA81" s="23" t="n"/>
      <c r="AB81" s="23" t="n"/>
      <c r="AC81" s="23" t="n"/>
      <c r="AD81" s="42">
        <f>IF(OR(L81="",Q81="",R81=""),"",IF(H81="Long",(Q81-L81)*R81*IF(S81="",1,S81),(L81-Q81)*R81*IF(S81="",1,S81)))</f>
        <v/>
      </c>
      <c r="AE81" s="41" t="n"/>
      <c r="AF81" s="41" t="n"/>
      <c r="AG81" s="42">
        <f>IF(AD81="","",AD81-IF(AE81="",0,AE81)-IF(AF81="",0,AF81))</f>
        <v/>
      </c>
      <c r="AH81" s="26">
        <f>IFERROR(AG81/U81,"")</f>
        <v/>
      </c>
      <c r="AI81" s="23" t="n"/>
      <c r="AJ81" s="23" t="n"/>
      <c r="AK81" s="23" t="n"/>
      <c r="AL81" s="23" t="n"/>
    </row>
    <row r="82">
      <c r="A82" s="20">
        <f>IF(B82="","","TR-"&amp;TEXT(ROW()-2,"0000"))</f>
        <v/>
      </c>
      <c r="B82" s="43" t="n"/>
      <c r="C82" s="44" t="n"/>
      <c r="D82" s="44" t="n"/>
      <c r="E82" s="29" t="n"/>
      <c r="F82" s="29" t="n"/>
      <c r="G82" s="29" t="n"/>
      <c r="H82" s="29" t="n"/>
      <c r="I82" s="29" t="n"/>
      <c r="J82" s="29" t="n"/>
      <c r="K82" s="29" t="n"/>
      <c r="L82" s="45" t="n"/>
      <c r="M82" s="45" t="n"/>
      <c r="N82" s="45" t="n"/>
      <c r="O82" s="45" t="n"/>
      <c r="P82" s="45" t="n"/>
      <c r="Q82" s="45" t="n"/>
      <c r="R82" s="29" t="n"/>
      <c r="S82" s="29" t="n"/>
      <c r="T82" s="42">
        <f>IF(OR(L82="",M82=""),"",IFERROR(Settings!$B$3*Settings!$B$5,0))</f>
        <v/>
      </c>
      <c r="U82" s="42">
        <f>IF(OR(L82="",M82="",R82=""),"",ABS(L82-M82)*R82*IF(S82="",1,S82))</f>
        <v/>
      </c>
      <c r="V82" s="26">
        <f>IFERROR(ABS(N82-L82)/ABS(L82-M82),"")</f>
        <v/>
      </c>
      <c r="W82" s="29" t="n"/>
      <c r="X82" s="29" t="n"/>
      <c r="Y82" s="29" t="n"/>
      <c r="Z82" s="29" t="n"/>
      <c r="AA82" s="29" t="n"/>
      <c r="AB82" s="29" t="n"/>
      <c r="AC82" s="29" t="n"/>
      <c r="AD82" s="42">
        <f>IF(OR(L82="",Q82="",R82=""),"",IF(H82="Long",(Q82-L82)*R82*IF(S82="",1,S82),(L82-Q82)*R82*IF(S82="",1,S82)))</f>
        <v/>
      </c>
      <c r="AE82" s="45" t="n"/>
      <c r="AF82" s="45" t="n"/>
      <c r="AG82" s="42">
        <f>IF(AD82="","",AD82-IF(AE82="",0,AE82)-IF(AF82="",0,AF82))</f>
        <v/>
      </c>
      <c r="AH82" s="26">
        <f>IFERROR(AG82/U82,"")</f>
        <v/>
      </c>
      <c r="AI82" s="29" t="n"/>
      <c r="AJ82" s="29" t="n"/>
      <c r="AK82" s="29" t="n"/>
      <c r="AL82" s="29" t="n"/>
    </row>
    <row r="83">
      <c r="A83" s="20">
        <f>IF(B83="","","TR-"&amp;TEXT(ROW()-2,"0000"))</f>
        <v/>
      </c>
      <c r="B83" s="39" t="n"/>
      <c r="C83" s="40" t="n"/>
      <c r="D83" s="40" t="n"/>
      <c r="E83" s="23" t="n"/>
      <c r="F83" s="23" t="n"/>
      <c r="G83" s="23" t="n"/>
      <c r="H83" s="23" t="n"/>
      <c r="I83" s="23" t="n"/>
      <c r="J83" s="23" t="n"/>
      <c r="K83" s="23" t="n"/>
      <c r="L83" s="41" t="n"/>
      <c r="M83" s="41" t="n"/>
      <c r="N83" s="41" t="n"/>
      <c r="O83" s="41" t="n"/>
      <c r="P83" s="41" t="n"/>
      <c r="Q83" s="41" t="n"/>
      <c r="R83" s="23" t="n"/>
      <c r="S83" s="23" t="n"/>
      <c r="T83" s="42">
        <f>IF(OR(L83="",M83=""),"",IFERROR(Settings!$B$3*Settings!$B$5,0))</f>
        <v/>
      </c>
      <c r="U83" s="42">
        <f>IF(OR(L83="",M83="",R83=""),"",ABS(L83-M83)*R83*IF(S83="",1,S83))</f>
        <v/>
      </c>
      <c r="V83" s="26">
        <f>IFERROR(ABS(N83-L83)/ABS(L83-M83),"")</f>
        <v/>
      </c>
      <c r="W83" s="23" t="n"/>
      <c r="X83" s="23" t="n"/>
      <c r="Y83" s="23" t="n"/>
      <c r="Z83" s="23" t="n"/>
      <c r="AA83" s="23" t="n"/>
      <c r="AB83" s="23" t="n"/>
      <c r="AC83" s="23" t="n"/>
      <c r="AD83" s="42">
        <f>IF(OR(L83="",Q83="",R83=""),"",IF(H83="Long",(Q83-L83)*R83*IF(S83="",1,S83),(L83-Q83)*R83*IF(S83="",1,S83)))</f>
        <v/>
      </c>
      <c r="AE83" s="41" t="n"/>
      <c r="AF83" s="41" t="n"/>
      <c r="AG83" s="42">
        <f>IF(AD83="","",AD83-IF(AE83="",0,AE83)-IF(AF83="",0,AF83))</f>
        <v/>
      </c>
      <c r="AH83" s="26">
        <f>IFERROR(AG83/U83,"")</f>
        <v/>
      </c>
      <c r="AI83" s="23" t="n"/>
      <c r="AJ83" s="23" t="n"/>
      <c r="AK83" s="23" t="n"/>
      <c r="AL83" s="23" t="n"/>
    </row>
    <row r="84">
      <c r="A84" s="20">
        <f>IF(B84="","","TR-"&amp;TEXT(ROW()-2,"0000"))</f>
        <v/>
      </c>
      <c r="B84" s="43" t="n"/>
      <c r="C84" s="44" t="n"/>
      <c r="D84" s="44" t="n"/>
      <c r="E84" s="29" t="n"/>
      <c r="F84" s="29" t="n"/>
      <c r="G84" s="29" t="n"/>
      <c r="H84" s="29" t="n"/>
      <c r="I84" s="29" t="n"/>
      <c r="J84" s="29" t="n"/>
      <c r="K84" s="29" t="n"/>
      <c r="L84" s="45" t="n"/>
      <c r="M84" s="45" t="n"/>
      <c r="N84" s="45" t="n"/>
      <c r="O84" s="45" t="n"/>
      <c r="P84" s="45" t="n"/>
      <c r="Q84" s="45" t="n"/>
      <c r="R84" s="29" t="n"/>
      <c r="S84" s="29" t="n"/>
      <c r="T84" s="42">
        <f>IF(OR(L84="",M84=""),"",IFERROR(Settings!$B$3*Settings!$B$5,0))</f>
        <v/>
      </c>
      <c r="U84" s="42">
        <f>IF(OR(L84="",M84="",R84=""),"",ABS(L84-M84)*R84*IF(S84="",1,S84))</f>
        <v/>
      </c>
      <c r="V84" s="26">
        <f>IFERROR(ABS(N84-L84)/ABS(L84-M84),"")</f>
        <v/>
      </c>
      <c r="W84" s="29" t="n"/>
      <c r="X84" s="29" t="n"/>
      <c r="Y84" s="29" t="n"/>
      <c r="Z84" s="29" t="n"/>
      <c r="AA84" s="29" t="n"/>
      <c r="AB84" s="29" t="n"/>
      <c r="AC84" s="29" t="n"/>
      <c r="AD84" s="42">
        <f>IF(OR(L84="",Q84="",R84=""),"",IF(H84="Long",(Q84-L84)*R84*IF(S84="",1,S84),(L84-Q84)*R84*IF(S84="",1,S84)))</f>
        <v/>
      </c>
      <c r="AE84" s="45" t="n"/>
      <c r="AF84" s="45" t="n"/>
      <c r="AG84" s="42">
        <f>IF(AD84="","",AD84-IF(AE84="",0,AE84)-IF(AF84="",0,AF84))</f>
        <v/>
      </c>
      <c r="AH84" s="26">
        <f>IFERROR(AG84/U84,"")</f>
        <v/>
      </c>
      <c r="AI84" s="29" t="n"/>
      <c r="AJ84" s="29" t="n"/>
      <c r="AK84" s="29" t="n"/>
      <c r="AL84" s="29" t="n"/>
    </row>
    <row r="85">
      <c r="A85" s="20">
        <f>IF(B85="","","TR-"&amp;TEXT(ROW()-2,"0000"))</f>
        <v/>
      </c>
      <c r="B85" s="39" t="n"/>
      <c r="C85" s="40" t="n"/>
      <c r="D85" s="40" t="n"/>
      <c r="E85" s="23" t="n"/>
      <c r="F85" s="23" t="n"/>
      <c r="G85" s="23" t="n"/>
      <c r="H85" s="23" t="n"/>
      <c r="I85" s="23" t="n"/>
      <c r="J85" s="23" t="n"/>
      <c r="K85" s="23" t="n"/>
      <c r="L85" s="41" t="n"/>
      <c r="M85" s="41" t="n"/>
      <c r="N85" s="41" t="n"/>
      <c r="O85" s="41" t="n"/>
      <c r="P85" s="41" t="n"/>
      <c r="Q85" s="41" t="n"/>
      <c r="R85" s="23" t="n"/>
      <c r="S85" s="23" t="n"/>
      <c r="T85" s="42">
        <f>IF(OR(L85="",M85=""),"",IFERROR(Settings!$B$3*Settings!$B$5,0))</f>
        <v/>
      </c>
      <c r="U85" s="42">
        <f>IF(OR(L85="",M85="",R85=""),"",ABS(L85-M85)*R85*IF(S85="",1,S85))</f>
        <v/>
      </c>
      <c r="V85" s="26">
        <f>IFERROR(ABS(N85-L85)/ABS(L85-M85),"")</f>
        <v/>
      </c>
      <c r="W85" s="23" t="n"/>
      <c r="X85" s="23" t="n"/>
      <c r="Y85" s="23" t="n"/>
      <c r="Z85" s="23" t="n"/>
      <c r="AA85" s="23" t="n"/>
      <c r="AB85" s="23" t="n"/>
      <c r="AC85" s="23" t="n"/>
      <c r="AD85" s="42">
        <f>IF(OR(L85="",Q85="",R85=""),"",IF(H85="Long",(Q85-L85)*R85*IF(S85="",1,S85),(L85-Q85)*R85*IF(S85="",1,S85)))</f>
        <v/>
      </c>
      <c r="AE85" s="41" t="n"/>
      <c r="AF85" s="41" t="n"/>
      <c r="AG85" s="42">
        <f>IF(AD85="","",AD85-IF(AE85="",0,AE85)-IF(AF85="",0,AF85))</f>
        <v/>
      </c>
      <c r="AH85" s="26">
        <f>IFERROR(AG85/U85,"")</f>
        <v/>
      </c>
      <c r="AI85" s="23" t="n"/>
      <c r="AJ85" s="23" t="n"/>
      <c r="AK85" s="23" t="n"/>
      <c r="AL85" s="23" t="n"/>
    </row>
    <row r="86">
      <c r="A86" s="20">
        <f>IF(B86="","","TR-"&amp;TEXT(ROW()-2,"0000"))</f>
        <v/>
      </c>
      <c r="B86" s="43" t="n"/>
      <c r="C86" s="44" t="n"/>
      <c r="D86" s="44" t="n"/>
      <c r="E86" s="29" t="n"/>
      <c r="F86" s="29" t="n"/>
      <c r="G86" s="29" t="n"/>
      <c r="H86" s="29" t="n"/>
      <c r="I86" s="29" t="n"/>
      <c r="J86" s="29" t="n"/>
      <c r="K86" s="29" t="n"/>
      <c r="L86" s="45" t="n"/>
      <c r="M86" s="45" t="n"/>
      <c r="N86" s="45" t="n"/>
      <c r="O86" s="45" t="n"/>
      <c r="P86" s="45" t="n"/>
      <c r="Q86" s="45" t="n"/>
      <c r="R86" s="29" t="n"/>
      <c r="S86" s="29" t="n"/>
      <c r="T86" s="42">
        <f>IF(OR(L86="",M86=""),"",IFERROR(Settings!$B$3*Settings!$B$5,0))</f>
        <v/>
      </c>
      <c r="U86" s="42">
        <f>IF(OR(L86="",M86="",R86=""),"",ABS(L86-M86)*R86*IF(S86="",1,S86))</f>
        <v/>
      </c>
      <c r="V86" s="26">
        <f>IFERROR(ABS(N86-L86)/ABS(L86-M86),"")</f>
        <v/>
      </c>
      <c r="W86" s="29" t="n"/>
      <c r="X86" s="29" t="n"/>
      <c r="Y86" s="29" t="n"/>
      <c r="Z86" s="29" t="n"/>
      <c r="AA86" s="29" t="n"/>
      <c r="AB86" s="29" t="n"/>
      <c r="AC86" s="29" t="n"/>
      <c r="AD86" s="42">
        <f>IF(OR(L86="",Q86="",R86=""),"",IF(H86="Long",(Q86-L86)*R86*IF(S86="",1,S86),(L86-Q86)*R86*IF(S86="",1,S86)))</f>
        <v/>
      </c>
      <c r="AE86" s="45" t="n"/>
      <c r="AF86" s="45" t="n"/>
      <c r="AG86" s="42">
        <f>IF(AD86="","",AD86-IF(AE86="",0,AE86)-IF(AF86="",0,AF86))</f>
        <v/>
      </c>
      <c r="AH86" s="26">
        <f>IFERROR(AG86/U86,"")</f>
        <v/>
      </c>
      <c r="AI86" s="29" t="n"/>
      <c r="AJ86" s="29" t="n"/>
      <c r="AK86" s="29" t="n"/>
      <c r="AL86" s="29" t="n"/>
    </row>
    <row r="87">
      <c r="A87" s="20">
        <f>IF(B87="","","TR-"&amp;TEXT(ROW()-2,"0000"))</f>
        <v/>
      </c>
      <c r="B87" s="39" t="n"/>
      <c r="C87" s="40" t="n"/>
      <c r="D87" s="40" t="n"/>
      <c r="E87" s="23" t="n"/>
      <c r="F87" s="23" t="n"/>
      <c r="G87" s="23" t="n"/>
      <c r="H87" s="23" t="n"/>
      <c r="I87" s="23" t="n"/>
      <c r="J87" s="23" t="n"/>
      <c r="K87" s="23" t="n"/>
      <c r="L87" s="41" t="n"/>
      <c r="M87" s="41" t="n"/>
      <c r="N87" s="41" t="n"/>
      <c r="O87" s="41" t="n"/>
      <c r="P87" s="41" t="n"/>
      <c r="Q87" s="41" t="n"/>
      <c r="R87" s="23" t="n"/>
      <c r="S87" s="23" t="n"/>
      <c r="T87" s="42">
        <f>IF(OR(L87="",M87=""),"",IFERROR(Settings!$B$3*Settings!$B$5,0))</f>
        <v/>
      </c>
      <c r="U87" s="42">
        <f>IF(OR(L87="",M87="",R87=""),"",ABS(L87-M87)*R87*IF(S87="",1,S87))</f>
        <v/>
      </c>
      <c r="V87" s="26">
        <f>IFERROR(ABS(N87-L87)/ABS(L87-M87),"")</f>
        <v/>
      </c>
      <c r="W87" s="23" t="n"/>
      <c r="X87" s="23" t="n"/>
      <c r="Y87" s="23" t="n"/>
      <c r="Z87" s="23" t="n"/>
      <c r="AA87" s="23" t="n"/>
      <c r="AB87" s="23" t="n"/>
      <c r="AC87" s="23" t="n"/>
      <c r="AD87" s="42">
        <f>IF(OR(L87="",Q87="",R87=""),"",IF(H87="Long",(Q87-L87)*R87*IF(S87="",1,S87),(L87-Q87)*R87*IF(S87="",1,S87)))</f>
        <v/>
      </c>
      <c r="AE87" s="41" t="n"/>
      <c r="AF87" s="41" t="n"/>
      <c r="AG87" s="42">
        <f>IF(AD87="","",AD87-IF(AE87="",0,AE87)-IF(AF87="",0,AF87))</f>
        <v/>
      </c>
      <c r="AH87" s="26">
        <f>IFERROR(AG87/U87,"")</f>
        <v/>
      </c>
      <c r="AI87" s="23" t="n"/>
      <c r="AJ87" s="23" t="n"/>
      <c r="AK87" s="23" t="n"/>
      <c r="AL87" s="23" t="n"/>
    </row>
    <row r="88">
      <c r="A88" s="20">
        <f>IF(B88="","","TR-"&amp;TEXT(ROW()-2,"0000"))</f>
        <v/>
      </c>
      <c r="B88" s="43" t="n"/>
      <c r="C88" s="44" t="n"/>
      <c r="D88" s="44" t="n"/>
      <c r="E88" s="29" t="n"/>
      <c r="F88" s="29" t="n"/>
      <c r="G88" s="29" t="n"/>
      <c r="H88" s="29" t="n"/>
      <c r="I88" s="29" t="n"/>
      <c r="J88" s="29" t="n"/>
      <c r="K88" s="29" t="n"/>
      <c r="L88" s="45" t="n"/>
      <c r="M88" s="45" t="n"/>
      <c r="N88" s="45" t="n"/>
      <c r="O88" s="45" t="n"/>
      <c r="P88" s="45" t="n"/>
      <c r="Q88" s="45" t="n"/>
      <c r="R88" s="29" t="n"/>
      <c r="S88" s="29" t="n"/>
      <c r="T88" s="42">
        <f>IF(OR(L88="",M88=""),"",IFERROR(Settings!$B$3*Settings!$B$5,0))</f>
        <v/>
      </c>
      <c r="U88" s="42">
        <f>IF(OR(L88="",M88="",R88=""),"",ABS(L88-M88)*R88*IF(S88="",1,S88))</f>
        <v/>
      </c>
      <c r="V88" s="26">
        <f>IFERROR(ABS(N88-L88)/ABS(L88-M88),"")</f>
        <v/>
      </c>
      <c r="W88" s="29" t="n"/>
      <c r="X88" s="29" t="n"/>
      <c r="Y88" s="29" t="n"/>
      <c r="Z88" s="29" t="n"/>
      <c r="AA88" s="29" t="n"/>
      <c r="AB88" s="29" t="n"/>
      <c r="AC88" s="29" t="n"/>
      <c r="AD88" s="42">
        <f>IF(OR(L88="",Q88="",R88=""),"",IF(H88="Long",(Q88-L88)*R88*IF(S88="",1,S88),(L88-Q88)*R88*IF(S88="",1,S88)))</f>
        <v/>
      </c>
      <c r="AE88" s="45" t="n"/>
      <c r="AF88" s="45" t="n"/>
      <c r="AG88" s="42">
        <f>IF(AD88="","",AD88-IF(AE88="",0,AE88)-IF(AF88="",0,AF88))</f>
        <v/>
      </c>
      <c r="AH88" s="26">
        <f>IFERROR(AG88/U88,"")</f>
        <v/>
      </c>
      <c r="AI88" s="29" t="n"/>
      <c r="AJ88" s="29" t="n"/>
      <c r="AK88" s="29" t="n"/>
      <c r="AL88" s="29" t="n"/>
    </row>
    <row r="89">
      <c r="A89" s="20">
        <f>IF(B89="","","TR-"&amp;TEXT(ROW()-2,"0000"))</f>
        <v/>
      </c>
      <c r="B89" s="39" t="n"/>
      <c r="C89" s="40" t="n"/>
      <c r="D89" s="40" t="n"/>
      <c r="E89" s="23" t="n"/>
      <c r="F89" s="23" t="n"/>
      <c r="G89" s="23" t="n"/>
      <c r="H89" s="23" t="n"/>
      <c r="I89" s="23" t="n"/>
      <c r="J89" s="23" t="n"/>
      <c r="K89" s="23" t="n"/>
      <c r="L89" s="41" t="n"/>
      <c r="M89" s="41" t="n"/>
      <c r="N89" s="41" t="n"/>
      <c r="O89" s="41" t="n"/>
      <c r="P89" s="41" t="n"/>
      <c r="Q89" s="41" t="n"/>
      <c r="R89" s="23" t="n"/>
      <c r="S89" s="23" t="n"/>
      <c r="T89" s="42">
        <f>IF(OR(L89="",M89=""),"",IFERROR(Settings!$B$3*Settings!$B$5,0))</f>
        <v/>
      </c>
      <c r="U89" s="42">
        <f>IF(OR(L89="",M89="",R89=""),"",ABS(L89-M89)*R89*IF(S89="",1,S89))</f>
        <v/>
      </c>
      <c r="V89" s="26">
        <f>IFERROR(ABS(N89-L89)/ABS(L89-M89),"")</f>
        <v/>
      </c>
      <c r="W89" s="23" t="n"/>
      <c r="X89" s="23" t="n"/>
      <c r="Y89" s="23" t="n"/>
      <c r="Z89" s="23" t="n"/>
      <c r="AA89" s="23" t="n"/>
      <c r="AB89" s="23" t="n"/>
      <c r="AC89" s="23" t="n"/>
      <c r="AD89" s="42">
        <f>IF(OR(L89="",Q89="",R89=""),"",IF(H89="Long",(Q89-L89)*R89*IF(S89="",1,S89),(L89-Q89)*R89*IF(S89="",1,S89)))</f>
        <v/>
      </c>
      <c r="AE89" s="41" t="n"/>
      <c r="AF89" s="41" t="n"/>
      <c r="AG89" s="42">
        <f>IF(AD89="","",AD89-IF(AE89="",0,AE89)-IF(AF89="",0,AF89))</f>
        <v/>
      </c>
      <c r="AH89" s="26">
        <f>IFERROR(AG89/U89,"")</f>
        <v/>
      </c>
      <c r="AI89" s="23" t="n"/>
      <c r="AJ89" s="23" t="n"/>
      <c r="AK89" s="23" t="n"/>
      <c r="AL89" s="23" t="n"/>
    </row>
    <row r="90">
      <c r="A90" s="20">
        <f>IF(B90="","","TR-"&amp;TEXT(ROW()-2,"0000"))</f>
        <v/>
      </c>
      <c r="B90" s="43" t="n"/>
      <c r="C90" s="44" t="n"/>
      <c r="D90" s="44" t="n"/>
      <c r="E90" s="29" t="n"/>
      <c r="F90" s="29" t="n"/>
      <c r="G90" s="29" t="n"/>
      <c r="H90" s="29" t="n"/>
      <c r="I90" s="29" t="n"/>
      <c r="J90" s="29" t="n"/>
      <c r="K90" s="29" t="n"/>
      <c r="L90" s="45" t="n"/>
      <c r="M90" s="45" t="n"/>
      <c r="N90" s="45" t="n"/>
      <c r="O90" s="45" t="n"/>
      <c r="P90" s="45" t="n"/>
      <c r="Q90" s="45" t="n"/>
      <c r="R90" s="29" t="n"/>
      <c r="S90" s="29" t="n"/>
      <c r="T90" s="42">
        <f>IF(OR(L90="",M90=""),"",IFERROR(Settings!$B$3*Settings!$B$5,0))</f>
        <v/>
      </c>
      <c r="U90" s="42">
        <f>IF(OR(L90="",M90="",R90=""),"",ABS(L90-M90)*R90*IF(S90="",1,S90))</f>
        <v/>
      </c>
      <c r="V90" s="26">
        <f>IFERROR(ABS(N90-L90)/ABS(L90-M90),"")</f>
        <v/>
      </c>
      <c r="W90" s="29" t="n"/>
      <c r="X90" s="29" t="n"/>
      <c r="Y90" s="29" t="n"/>
      <c r="Z90" s="29" t="n"/>
      <c r="AA90" s="29" t="n"/>
      <c r="AB90" s="29" t="n"/>
      <c r="AC90" s="29" t="n"/>
      <c r="AD90" s="42">
        <f>IF(OR(L90="",Q90="",R90=""),"",IF(H90="Long",(Q90-L90)*R90*IF(S90="",1,S90),(L90-Q90)*R90*IF(S90="",1,S90)))</f>
        <v/>
      </c>
      <c r="AE90" s="45" t="n"/>
      <c r="AF90" s="45" t="n"/>
      <c r="AG90" s="42">
        <f>IF(AD90="","",AD90-IF(AE90="",0,AE90)-IF(AF90="",0,AF90))</f>
        <v/>
      </c>
      <c r="AH90" s="26">
        <f>IFERROR(AG90/U90,"")</f>
        <v/>
      </c>
      <c r="AI90" s="29" t="n"/>
      <c r="AJ90" s="29" t="n"/>
      <c r="AK90" s="29" t="n"/>
      <c r="AL90" s="29" t="n"/>
    </row>
    <row r="91">
      <c r="A91" s="20">
        <f>IF(B91="","","TR-"&amp;TEXT(ROW()-2,"0000"))</f>
        <v/>
      </c>
      <c r="B91" s="39" t="n"/>
      <c r="C91" s="40" t="n"/>
      <c r="D91" s="40" t="n"/>
      <c r="E91" s="23" t="n"/>
      <c r="F91" s="23" t="n"/>
      <c r="G91" s="23" t="n"/>
      <c r="H91" s="23" t="n"/>
      <c r="I91" s="23" t="n"/>
      <c r="J91" s="23" t="n"/>
      <c r="K91" s="23" t="n"/>
      <c r="L91" s="41" t="n"/>
      <c r="M91" s="41" t="n"/>
      <c r="N91" s="41" t="n"/>
      <c r="O91" s="41" t="n"/>
      <c r="P91" s="41" t="n"/>
      <c r="Q91" s="41" t="n"/>
      <c r="R91" s="23" t="n"/>
      <c r="S91" s="23" t="n"/>
      <c r="T91" s="42">
        <f>IF(OR(L91="",M91=""),"",IFERROR(Settings!$B$3*Settings!$B$5,0))</f>
        <v/>
      </c>
      <c r="U91" s="42">
        <f>IF(OR(L91="",M91="",R91=""),"",ABS(L91-M91)*R91*IF(S91="",1,S91))</f>
        <v/>
      </c>
      <c r="V91" s="26">
        <f>IFERROR(ABS(N91-L91)/ABS(L91-M91),"")</f>
        <v/>
      </c>
      <c r="W91" s="23" t="n"/>
      <c r="X91" s="23" t="n"/>
      <c r="Y91" s="23" t="n"/>
      <c r="Z91" s="23" t="n"/>
      <c r="AA91" s="23" t="n"/>
      <c r="AB91" s="23" t="n"/>
      <c r="AC91" s="23" t="n"/>
      <c r="AD91" s="42">
        <f>IF(OR(L91="",Q91="",R91=""),"",IF(H91="Long",(Q91-L91)*R91*IF(S91="",1,S91),(L91-Q91)*R91*IF(S91="",1,S91)))</f>
        <v/>
      </c>
      <c r="AE91" s="41" t="n"/>
      <c r="AF91" s="41" t="n"/>
      <c r="AG91" s="42">
        <f>IF(AD91="","",AD91-IF(AE91="",0,AE91)-IF(AF91="",0,AF91))</f>
        <v/>
      </c>
      <c r="AH91" s="26">
        <f>IFERROR(AG91/U91,"")</f>
        <v/>
      </c>
      <c r="AI91" s="23" t="n"/>
      <c r="AJ91" s="23" t="n"/>
      <c r="AK91" s="23" t="n"/>
      <c r="AL91" s="23" t="n"/>
    </row>
    <row r="92">
      <c r="A92" s="20">
        <f>IF(B92="","","TR-"&amp;TEXT(ROW()-2,"0000"))</f>
        <v/>
      </c>
      <c r="B92" s="43" t="n"/>
      <c r="C92" s="44" t="n"/>
      <c r="D92" s="44" t="n"/>
      <c r="E92" s="29" t="n"/>
      <c r="F92" s="29" t="n"/>
      <c r="G92" s="29" t="n"/>
      <c r="H92" s="29" t="n"/>
      <c r="I92" s="29" t="n"/>
      <c r="J92" s="29" t="n"/>
      <c r="K92" s="29" t="n"/>
      <c r="L92" s="45" t="n"/>
      <c r="M92" s="45" t="n"/>
      <c r="N92" s="45" t="n"/>
      <c r="O92" s="45" t="n"/>
      <c r="P92" s="45" t="n"/>
      <c r="Q92" s="45" t="n"/>
      <c r="R92" s="29" t="n"/>
      <c r="S92" s="29" t="n"/>
      <c r="T92" s="42">
        <f>IF(OR(L92="",M92=""),"",IFERROR(Settings!$B$3*Settings!$B$5,0))</f>
        <v/>
      </c>
      <c r="U92" s="42">
        <f>IF(OR(L92="",M92="",R92=""),"",ABS(L92-M92)*R92*IF(S92="",1,S92))</f>
        <v/>
      </c>
      <c r="V92" s="26">
        <f>IFERROR(ABS(N92-L92)/ABS(L92-M92),"")</f>
        <v/>
      </c>
      <c r="W92" s="29" t="n"/>
      <c r="X92" s="29" t="n"/>
      <c r="Y92" s="29" t="n"/>
      <c r="Z92" s="29" t="n"/>
      <c r="AA92" s="29" t="n"/>
      <c r="AB92" s="29" t="n"/>
      <c r="AC92" s="29" t="n"/>
      <c r="AD92" s="42">
        <f>IF(OR(L92="",Q92="",R92=""),"",IF(H92="Long",(Q92-L92)*R92*IF(S92="",1,S92),(L92-Q92)*R92*IF(S92="",1,S92)))</f>
        <v/>
      </c>
      <c r="AE92" s="45" t="n"/>
      <c r="AF92" s="45" t="n"/>
      <c r="AG92" s="42">
        <f>IF(AD92="","",AD92-IF(AE92="",0,AE92)-IF(AF92="",0,AF92))</f>
        <v/>
      </c>
      <c r="AH92" s="26">
        <f>IFERROR(AG92/U92,"")</f>
        <v/>
      </c>
      <c r="AI92" s="29" t="n"/>
      <c r="AJ92" s="29" t="n"/>
      <c r="AK92" s="29" t="n"/>
      <c r="AL92" s="29" t="n"/>
    </row>
    <row r="93">
      <c r="A93" s="20">
        <f>IF(B93="","","TR-"&amp;TEXT(ROW()-2,"0000"))</f>
        <v/>
      </c>
      <c r="B93" s="39" t="n"/>
      <c r="C93" s="40" t="n"/>
      <c r="D93" s="40" t="n"/>
      <c r="E93" s="23" t="n"/>
      <c r="F93" s="23" t="n"/>
      <c r="G93" s="23" t="n"/>
      <c r="H93" s="23" t="n"/>
      <c r="I93" s="23" t="n"/>
      <c r="J93" s="23" t="n"/>
      <c r="K93" s="23" t="n"/>
      <c r="L93" s="41" t="n"/>
      <c r="M93" s="41" t="n"/>
      <c r="N93" s="41" t="n"/>
      <c r="O93" s="41" t="n"/>
      <c r="P93" s="41" t="n"/>
      <c r="Q93" s="41" t="n"/>
      <c r="R93" s="23" t="n"/>
      <c r="S93" s="23" t="n"/>
      <c r="T93" s="42">
        <f>IF(OR(L93="",M93=""),"",IFERROR(Settings!$B$3*Settings!$B$5,0))</f>
        <v/>
      </c>
      <c r="U93" s="42">
        <f>IF(OR(L93="",M93="",R93=""),"",ABS(L93-M93)*R93*IF(S93="",1,S93))</f>
        <v/>
      </c>
      <c r="V93" s="26">
        <f>IFERROR(ABS(N93-L93)/ABS(L93-M93),"")</f>
        <v/>
      </c>
      <c r="W93" s="23" t="n"/>
      <c r="X93" s="23" t="n"/>
      <c r="Y93" s="23" t="n"/>
      <c r="Z93" s="23" t="n"/>
      <c r="AA93" s="23" t="n"/>
      <c r="AB93" s="23" t="n"/>
      <c r="AC93" s="23" t="n"/>
      <c r="AD93" s="42">
        <f>IF(OR(L93="",Q93="",R93=""),"",IF(H93="Long",(Q93-L93)*R93*IF(S93="",1,S93),(L93-Q93)*R93*IF(S93="",1,S93)))</f>
        <v/>
      </c>
      <c r="AE93" s="41" t="n"/>
      <c r="AF93" s="41" t="n"/>
      <c r="AG93" s="42">
        <f>IF(AD93="","",AD93-IF(AE93="",0,AE93)-IF(AF93="",0,AF93))</f>
        <v/>
      </c>
      <c r="AH93" s="26">
        <f>IFERROR(AG93/U93,"")</f>
        <v/>
      </c>
      <c r="AI93" s="23" t="n"/>
      <c r="AJ93" s="23" t="n"/>
      <c r="AK93" s="23" t="n"/>
      <c r="AL93" s="23" t="n"/>
    </row>
    <row r="94">
      <c r="A94" s="20">
        <f>IF(B94="","","TR-"&amp;TEXT(ROW()-2,"0000"))</f>
        <v/>
      </c>
      <c r="B94" s="43" t="n"/>
      <c r="C94" s="44" t="n"/>
      <c r="D94" s="44" t="n"/>
      <c r="E94" s="29" t="n"/>
      <c r="F94" s="29" t="n"/>
      <c r="G94" s="29" t="n"/>
      <c r="H94" s="29" t="n"/>
      <c r="I94" s="29" t="n"/>
      <c r="J94" s="29" t="n"/>
      <c r="K94" s="29" t="n"/>
      <c r="L94" s="45" t="n"/>
      <c r="M94" s="45" t="n"/>
      <c r="N94" s="45" t="n"/>
      <c r="O94" s="45" t="n"/>
      <c r="P94" s="45" t="n"/>
      <c r="Q94" s="45" t="n"/>
      <c r="R94" s="29" t="n"/>
      <c r="S94" s="29" t="n"/>
      <c r="T94" s="42">
        <f>IF(OR(L94="",M94=""),"",IFERROR(Settings!$B$3*Settings!$B$5,0))</f>
        <v/>
      </c>
      <c r="U94" s="42">
        <f>IF(OR(L94="",M94="",R94=""),"",ABS(L94-M94)*R94*IF(S94="",1,S94))</f>
        <v/>
      </c>
      <c r="V94" s="26">
        <f>IFERROR(ABS(N94-L94)/ABS(L94-M94),"")</f>
        <v/>
      </c>
      <c r="W94" s="29" t="n"/>
      <c r="X94" s="29" t="n"/>
      <c r="Y94" s="29" t="n"/>
      <c r="Z94" s="29" t="n"/>
      <c r="AA94" s="29" t="n"/>
      <c r="AB94" s="29" t="n"/>
      <c r="AC94" s="29" t="n"/>
      <c r="AD94" s="42">
        <f>IF(OR(L94="",Q94="",R94=""),"",IF(H94="Long",(Q94-L94)*R94*IF(S94="",1,S94),(L94-Q94)*R94*IF(S94="",1,S94)))</f>
        <v/>
      </c>
      <c r="AE94" s="45" t="n"/>
      <c r="AF94" s="45" t="n"/>
      <c r="AG94" s="42">
        <f>IF(AD94="","",AD94-IF(AE94="",0,AE94)-IF(AF94="",0,AF94))</f>
        <v/>
      </c>
      <c r="AH94" s="26">
        <f>IFERROR(AG94/U94,"")</f>
        <v/>
      </c>
      <c r="AI94" s="29" t="n"/>
      <c r="AJ94" s="29" t="n"/>
      <c r="AK94" s="29" t="n"/>
      <c r="AL94" s="29" t="n"/>
    </row>
    <row r="95">
      <c r="A95" s="20">
        <f>IF(B95="","","TR-"&amp;TEXT(ROW()-2,"0000"))</f>
        <v/>
      </c>
      <c r="B95" s="39" t="n"/>
      <c r="C95" s="40" t="n"/>
      <c r="D95" s="40" t="n"/>
      <c r="E95" s="23" t="n"/>
      <c r="F95" s="23" t="n"/>
      <c r="G95" s="23" t="n"/>
      <c r="H95" s="23" t="n"/>
      <c r="I95" s="23" t="n"/>
      <c r="J95" s="23" t="n"/>
      <c r="K95" s="23" t="n"/>
      <c r="L95" s="41" t="n"/>
      <c r="M95" s="41" t="n"/>
      <c r="N95" s="41" t="n"/>
      <c r="O95" s="41" t="n"/>
      <c r="P95" s="41" t="n"/>
      <c r="Q95" s="41" t="n"/>
      <c r="R95" s="23" t="n"/>
      <c r="S95" s="23" t="n"/>
      <c r="T95" s="42">
        <f>IF(OR(L95="",M95=""),"",IFERROR(Settings!$B$3*Settings!$B$5,0))</f>
        <v/>
      </c>
      <c r="U95" s="42">
        <f>IF(OR(L95="",M95="",R95=""),"",ABS(L95-M95)*R95*IF(S95="",1,S95))</f>
        <v/>
      </c>
      <c r="V95" s="26">
        <f>IFERROR(ABS(N95-L95)/ABS(L95-M95),"")</f>
        <v/>
      </c>
      <c r="W95" s="23" t="n"/>
      <c r="X95" s="23" t="n"/>
      <c r="Y95" s="23" t="n"/>
      <c r="Z95" s="23" t="n"/>
      <c r="AA95" s="23" t="n"/>
      <c r="AB95" s="23" t="n"/>
      <c r="AC95" s="23" t="n"/>
      <c r="AD95" s="42">
        <f>IF(OR(L95="",Q95="",R95=""),"",IF(H95="Long",(Q95-L95)*R95*IF(S95="",1,S95),(L95-Q95)*R95*IF(S95="",1,S95)))</f>
        <v/>
      </c>
      <c r="AE95" s="41" t="n"/>
      <c r="AF95" s="41" t="n"/>
      <c r="AG95" s="42">
        <f>IF(AD95="","",AD95-IF(AE95="",0,AE95)-IF(AF95="",0,AF95))</f>
        <v/>
      </c>
      <c r="AH95" s="26">
        <f>IFERROR(AG95/U95,"")</f>
        <v/>
      </c>
      <c r="AI95" s="23" t="n"/>
      <c r="AJ95" s="23" t="n"/>
      <c r="AK95" s="23" t="n"/>
      <c r="AL95" s="23" t="n"/>
    </row>
    <row r="96">
      <c r="A96" s="20">
        <f>IF(B96="","","TR-"&amp;TEXT(ROW()-2,"0000"))</f>
        <v/>
      </c>
      <c r="B96" s="43" t="n"/>
      <c r="C96" s="44" t="n"/>
      <c r="D96" s="44" t="n"/>
      <c r="E96" s="29" t="n"/>
      <c r="F96" s="29" t="n"/>
      <c r="G96" s="29" t="n"/>
      <c r="H96" s="29" t="n"/>
      <c r="I96" s="29" t="n"/>
      <c r="J96" s="29" t="n"/>
      <c r="K96" s="29" t="n"/>
      <c r="L96" s="45" t="n"/>
      <c r="M96" s="45" t="n"/>
      <c r="N96" s="45" t="n"/>
      <c r="O96" s="45" t="n"/>
      <c r="P96" s="45" t="n"/>
      <c r="Q96" s="45" t="n"/>
      <c r="R96" s="29" t="n"/>
      <c r="S96" s="29" t="n"/>
      <c r="T96" s="42">
        <f>IF(OR(L96="",M96=""),"",IFERROR(Settings!$B$3*Settings!$B$5,0))</f>
        <v/>
      </c>
      <c r="U96" s="42">
        <f>IF(OR(L96="",M96="",R96=""),"",ABS(L96-M96)*R96*IF(S96="",1,S96))</f>
        <v/>
      </c>
      <c r="V96" s="26">
        <f>IFERROR(ABS(N96-L96)/ABS(L96-M96),"")</f>
        <v/>
      </c>
      <c r="W96" s="29" t="n"/>
      <c r="X96" s="29" t="n"/>
      <c r="Y96" s="29" t="n"/>
      <c r="Z96" s="29" t="n"/>
      <c r="AA96" s="29" t="n"/>
      <c r="AB96" s="29" t="n"/>
      <c r="AC96" s="29" t="n"/>
      <c r="AD96" s="42">
        <f>IF(OR(L96="",Q96="",R96=""),"",IF(H96="Long",(Q96-L96)*R96*IF(S96="",1,S96),(L96-Q96)*R96*IF(S96="",1,S96)))</f>
        <v/>
      </c>
      <c r="AE96" s="45" t="n"/>
      <c r="AF96" s="45" t="n"/>
      <c r="AG96" s="42">
        <f>IF(AD96="","",AD96-IF(AE96="",0,AE96)-IF(AF96="",0,AF96))</f>
        <v/>
      </c>
      <c r="AH96" s="26">
        <f>IFERROR(AG96/U96,"")</f>
        <v/>
      </c>
      <c r="AI96" s="29" t="n"/>
      <c r="AJ96" s="29" t="n"/>
      <c r="AK96" s="29" t="n"/>
      <c r="AL96" s="29" t="n"/>
    </row>
    <row r="97">
      <c r="A97" s="20">
        <f>IF(B97="","","TR-"&amp;TEXT(ROW()-2,"0000"))</f>
        <v/>
      </c>
      <c r="B97" s="39" t="n"/>
      <c r="C97" s="40" t="n"/>
      <c r="D97" s="40" t="n"/>
      <c r="E97" s="23" t="n"/>
      <c r="F97" s="23" t="n"/>
      <c r="G97" s="23" t="n"/>
      <c r="H97" s="23" t="n"/>
      <c r="I97" s="23" t="n"/>
      <c r="J97" s="23" t="n"/>
      <c r="K97" s="23" t="n"/>
      <c r="L97" s="41" t="n"/>
      <c r="M97" s="41" t="n"/>
      <c r="N97" s="41" t="n"/>
      <c r="O97" s="41" t="n"/>
      <c r="P97" s="41" t="n"/>
      <c r="Q97" s="41" t="n"/>
      <c r="R97" s="23" t="n"/>
      <c r="S97" s="23" t="n"/>
      <c r="T97" s="42">
        <f>IF(OR(L97="",M97=""),"",IFERROR(Settings!$B$3*Settings!$B$5,0))</f>
        <v/>
      </c>
      <c r="U97" s="42">
        <f>IF(OR(L97="",M97="",R97=""),"",ABS(L97-M97)*R97*IF(S97="",1,S97))</f>
        <v/>
      </c>
      <c r="V97" s="26">
        <f>IFERROR(ABS(N97-L97)/ABS(L97-M97),"")</f>
        <v/>
      </c>
      <c r="W97" s="23" t="n"/>
      <c r="X97" s="23" t="n"/>
      <c r="Y97" s="23" t="n"/>
      <c r="Z97" s="23" t="n"/>
      <c r="AA97" s="23" t="n"/>
      <c r="AB97" s="23" t="n"/>
      <c r="AC97" s="23" t="n"/>
      <c r="AD97" s="42">
        <f>IF(OR(L97="",Q97="",R97=""),"",IF(H97="Long",(Q97-L97)*R97*IF(S97="",1,S97),(L97-Q97)*R97*IF(S97="",1,S97)))</f>
        <v/>
      </c>
      <c r="AE97" s="41" t="n"/>
      <c r="AF97" s="41" t="n"/>
      <c r="AG97" s="42">
        <f>IF(AD97="","",AD97-IF(AE97="",0,AE97)-IF(AF97="",0,AF97))</f>
        <v/>
      </c>
      <c r="AH97" s="26">
        <f>IFERROR(AG97/U97,"")</f>
        <v/>
      </c>
      <c r="AI97" s="23" t="n"/>
      <c r="AJ97" s="23" t="n"/>
      <c r="AK97" s="23" t="n"/>
      <c r="AL97" s="23" t="n"/>
    </row>
    <row r="98">
      <c r="A98" s="20">
        <f>IF(B98="","","TR-"&amp;TEXT(ROW()-2,"0000"))</f>
        <v/>
      </c>
      <c r="B98" s="43" t="n"/>
      <c r="C98" s="44" t="n"/>
      <c r="D98" s="44" t="n"/>
      <c r="E98" s="29" t="n"/>
      <c r="F98" s="29" t="n"/>
      <c r="G98" s="29" t="n"/>
      <c r="H98" s="29" t="n"/>
      <c r="I98" s="29" t="n"/>
      <c r="J98" s="29" t="n"/>
      <c r="K98" s="29" t="n"/>
      <c r="L98" s="45" t="n"/>
      <c r="M98" s="45" t="n"/>
      <c r="N98" s="45" t="n"/>
      <c r="O98" s="45" t="n"/>
      <c r="P98" s="45" t="n"/>
      <c r="Q98" s="45" t="n"/>
      <c r="R98" s="29" t="n"/>
      <c r="S98" s="29" t="n"/>
      <c r="T98" s="42">
        <f>IF(OR(L98="",M98=""),"",IFERROR(Settings!$B$3*Settings!$B$5,0))</f>
        <v/>
      </c>
      <c r="U98" s="42">
        <f>IF(OR(L98="",M98="",R98=""),"",ABS(L98-M98)*R98*IF(S98="",1,S98))</f>
        <v/>
      </c>
      <c r="V98" s="26">
        <f>IFERROR(ABS(N98-L98)/ABS(L98-M98),"")</f>
        <v/>
      </c>
      <c r="W98" s="29" t="n"/>
      <c r="X98" s="29" t="n"/>
      <c r="Y98" s="29" t="n"/>
      <c r="Z98" s="29" t="n"/>
      <c r="AA98" s="29" t="n"/>
      <c r="AB98" s="29" t="n"/>
      <c r="AC98" s="29" t="n"/>
      <c r="AD98" s="42">
        <f>IF(OR(L98="",Q98="",R98=""),"",IF(H98="Long",(Q98-L98)*R98*IF(S98="",1,S98),(L98-Q98)*R98*IF(S98="",1,S98)))</f>
        <v/>
      </c>
      <c r="AE98" s="45" t="n"/>
      <c r="AF98" s="45" t="n"/>
      <c r="AG98" s="42">
        <f>IF(AD98="","",AD98-IF(AE98="",0,AE98)-IF(AF98="",0,AF98))</f>
        <v/>
      </c>
      <c r="AH98" s="26">
        <f>IFERROR(AG98/U98,"")</f>
        <v/>
      </c>
      <c r="AI98" s="29" t="n"/>
      <c r="AJ98" s="29" t="n"/>
      <c r="AK98" s="29" t="n"/>
      <c r="AL98" s="29" t="n"/>
    </row>
    <row r="99">
      <c r="A99" s="20">
        <f>IF(B99="","","TR-"&amp;TEXT(ROW()-2,"0000"))</f>
        <v/>
      </c>
      <c r="B99" s="39" t="n"/>
      <c r="C99" s="40" t="n"/>
      <c r="D99" s="40" t="n"/>
      <c r="E99" s="23" t="n"/>
      <c r="F99" s="23" t="n"/>
      <c r="G99" s="23" t="n"/>
      <c r="H99" s="23" t="n"/>
      <c r="I99" s="23" t="n"/>
      <c r="J99" s="23" t="n"/>
      <c r="K99" s="23" t="n"/>
      <c r="L99" s="41" t="n"/>
      <c r="M99" s="41" t="n"/>
      <c r="N99" s="41" t="n"/>
      <c r="O99" s="41" t="n"/>
      <c r="P99" s="41" t="n"/>
      <c r="Q99" s="41" t="n"/>
      <c r="R99" s="23" t="n"/>
      <c r="S99" s="23" t="n"/>
      <c r="T99" s="42">
        <f>IF(OR(L99="",M99=""),"",IFERROR(Settings!$B$3*Settings!$B$5,0))</f>
        <v/>
      </c>
      <c r="U99" s="42">
        <f>IF(OR(L99="",M99="",R99=""),"",ABS(L99-M99)*R99*IF(S99="",1,S99))</f>
        <v/>
      </c>
      <c r="V99" s="26">
        <f>IFERROR(ABS(N99-L99)/ABS(L99-M99),"")</f>
        <v/>
      </c>
      <c r="W99" s="23" t="n"/>
      <c r="X99" s="23" t="n"/>
      <c r="Y99" s="23" t="n"/>
      <c r="Z99" s="23" t="n"/>
      <c r="AA99" s="23" t="n"/>
      <c r="AB99" s="23" t="n"/>
      <c r="AC99" s="23" t="n"/>
      <c r="AD99" s="42">
        <f>IF(OR(L99="",Q99="",R99=""),"",IF(H99="Long",(Q99-L99)*R99*IF(S99="",1,S99),(L99-Q99)*R99*IF(S99="",1,S99)))</f>
        <v/>
      </c>
      <c r="AE99" s="41" t="n"/>
      <c r="AF99" s="41" t="n"/>
      <c r="AG99" s="42">
        <f>IF(AD99="","",AD99-IF(AE99="",0,AE99)-IF(AF99="",0,AF99))</f>
        <v/>
      </c>
      <c r="AH99" s="26">
        <f>IFERROR(AG99/U99,"")</f>
        <v/>
      </c>
      <c r="AI99" s="23" t="n"/>
      <c r="AJ99" s="23" t="n"/>
      <c r="AK99" s="23" t="n"/>
      <c r="AL99" s="23" t="n"/>
    </row>
    <row r="100">
      <c r="A100" s="20">
        <f>IF(B100="","","TR-"&amp;TEXT(ROW()-2,"0000"))</f>
        <v/>
      </c>
      <c r="B100" s="43" t="n"/>
      <c r="C100" s="44" t="n"/>
      <c r="D100" s="44" t="n"/>
      <c r="E100" s="29" t="n"/>
      <c r="F100" s="29" t="n"/>
      <c r="G100" s="29" t="n"/>
      <c r="H100" s="29" t="n"/>
      <c r="I100" s="29" t="n"/>
      <c r="J100" s="29" t="n"/>
      <c r="K100" s="29" t="n"/>
      <c r="L100" s="45" t="n"/>
      <c r="M100" s="45" t="n"/>
      <c r="N100" s="45" t="n"/>
      <c r="O100" s="45" t="n"/>
      <c r="P100" s="45" t="n"/>
      <c r="Q100" s="45" t="n"/>
      <c r="R100" s="29" t="n"/>
      <c r="S100" s="29" t="n"/>
      <c r="T100" s="42">
        <f>IF(OR(L100="",M100=""),"",IFERROR(Settings!$B$3*Settings!$B$5,0))</f>
        <v/>
      </c>
      <c r="U100" s="42">
        <f>IF(OR(L100="",M100="",R100=""),"",ABS(L100-M100)*R100*IF(S100="",1,S100))</f>
        <v/>
      </c>
      <c r="V100" s="26">
        <f>IFERROR(ABS(N100-L100)/ABS(L100-M100),"")</f>
        <v/>
      </c>
      <c r="W100" s="29" t="n"/>
      <c r="X100" s="29" t="n"/>
      <c r="Y100" s="29" t="n"/>
      <c r="Z100" s="29" t="n"/>
      <c r="AA100" s="29" t="n"/>
      <c r="AB100" s="29" t="n"/>
      <c r="AC100" s="29" t="n"/>
      <c r="AD100" s="42">
        <f>IF(OR(L100="",Q100="",R100=""),"",IF(H100="Long",(Q100-L100)*R100*IF(S100="",1,S100),(L100-Q100)*R100*IF(S100="",1,S100)))</f>
        <v/>
      </c>
      <c r="AE100" s="45" t="n"/>
      <c r="AF100" s="45" t="n"/>
      <c r="AG100" s="42">
        <f>IF(AD100="","",AD100-IF(AE100="",0,AE100)-IF(AF100="",0,AF100))</f>
        <v/>
      </c>
      <c r="AH100" s="26">
        <f>IFERROR(AG100/U100,"")</f>
        <v/>
      </c>
      <c r="AI100" s="29" t="n"/>
      <c r="AJ100" s="29" t="n"/>
      <c r="AK100" s="29" t="n"/>
      <c r="AL100" s="29" t="n"/>
    </row>
    <row r="101">
      <c r="A101" s="20">
        <f>IF(B101="","","TR-"&amp;TEXT(ROW()-2,"0000"))</f>
        <v/>
      </c>
      <c r="B101" s="39" t="n"/>
      <c r="C101" s="40" t="n"/>
      <c r="D101" s="40" t="n"/>
      <c r="E101" s="23" t="n"/>
      <c r="F101" s="23" t="n"/>
      <c r="G101" s="23" t="n"/>
      <c r="H101" s="23" t="n"/>
      <c r="I101" s="23" t="n"/>
      <c r="J101" s="23" t="n"/>
      <c r="K101" s="23" t="n"/>
      <c r="L101" s="41" t="n"/>
      <c r="M101" s="41" t="n"/>
      <c r="N101" s="41" t="n"/>
      <c r="O101" s="41" t="n"/>
      <c r="P101" s="41" t="n"/>
      <c r="Q101" s="41" t="n"/>
      <c r="R101" s="23" t="n"/>
      <c r="S101" s="23" t="n"/>
      <c r="T101" s="42">
        <f>IF(OR(L101="",M101=""),"",IFERROR(Settings!$B$3*Settings!$B$5,0))</f>
        <v/>
      </c>
      <c r="U101" s="42">
        <f>IF(OR(L101="",M101="",R101=""),"",ABS(L101-M101)*R101*IF(S101="",1,S101))</f>
        <v/>
      </c>
      <c r="V101" s="26">
        <f>IFERROR(ABS(N101-L101)/ABS(L101-M101),"")</f>
        <v/>
      </c>
      <c r="W101" s="23" t="n"/>
      <c r="X101" s="23" t="n"/>
      <c r="Y101" s="23" t="n"/>
      <c r="Z101" s="23" t="n"/>
      <c r="AA101" s="23" t="n"/>
      <c r="AB101" s="23" t="n"/>
      <c r="AC101" s="23" t="n"/>
      <c r="AD101" s="42">
        <f>IF(OR(L101="",Q101="",R101=""),"",IF(H101="Long",(Q101-L101)*R101*IF(S101="",1,S101),(L101-Q101)*R101*IF(S101="",1,S101)))</f>
        <v/>
      </c>
      <c r="AE101" s="41" t="n"/>
      <c r="AF101" s="41" t="n"/>
      <c r="AG101" s="42">
        <f>IF(AD101="","",AD101-IF(AE101="",0,AE101)-IF(AF101="",0,AF101))</f>
        <v/>
      </c>
      <c r="AH101" s="26">
        <f>IFERROR(AG101/U101,"")</f>
        <v/>
      </c>
      <c r="AI101" s="23" t="n"/>
      <c r="AJ101" s="23" t="n"/>
      <c r="AK101" s="23" t="n"/>
      <c r="AL101" s="23" t="n"/>
    </row>
    <row r="102">
      <c r="A102" s="20">
        <f>IF(B102="","","TR-"&amp;TEXT(ROW()-2,"0000"))</f>
        <v/>
      </c>
      <c r="B102" s="43" t="n"/>
      <c r="C102" s="44" t="n"/>
      <c r="D102" s="44" t="n"/>
      <c r="E102" s="29" t="n"/>
      <c r="F102" s="29" t="n"/>
      <c r="G102" s="29" t="n"/>
      <c r="H102" s="29" t="n"/>
      <c r="I102" s="29" t="n"/>
      <c r="J102" s="29" t="n"/>
      <c r="K102" s="29" t="n"/>
      <c r="L102" s="45" t="n"/>
      <c r="M102" s="45" t="n"/>
      <c r="N102" s="45" t="n"/>
      <c r="O102" s="45" t="n"/>
      <c r="P102" s="45" t="n"/>
      <c r="Q102" s="45" t="n"/>
      <c r="R102" s="29" t="n"/>
      <c r="S102" s="29" t="n"/>
      <c r="T102" s="42">
        <f>IF(OR(L102="",M102=""),"",IFERROR(Settings!$B$3*Settings!$B$5,0))</f>
        <v/>
      </c>
      <c r="U102" s="42">
        <f>IF(OR(L102="",M102="",R102=""),"",ABS(L102-M102)*R102*IF(S102="",1,S102))</f>
        <v/>
      </c>
      <c r="V102" s="26">
        <f>IFERROR(ABS(N102-L102)/ABS(L102-M102),"")</f>
        <v/>
      </c>
      <c r="W102" s="29" t="n"/>
      <c r="X102" s="29" t="n"/>
      <c r="Y102" s="29" t="n"/>
      <c r="Z102" s="29" t="n"/>
      <c r="AA102" s="29" t="n"/>
      <c r="AB102" s="29" t="n"/>
      <c r="AC102" s="29" t="n"/>
      <c r="AD102" s="42">
        <f>IF(OR(L102="",Q102="",R102=""),"",IF(H102="Long",(Q102-L102)*R102*IF(S102="",1,S102),(L102-Q102)*R102*IF(S102="",1,S102)))</f>
        <v/>
      </c>
      <c r="AE102" s="45" t="n"/>
      <c r="AF102" s="45" t="n"/>
      <c r="AG102" s="42">
        <f>IF(AD102="","",AD102-IF(AE102="",0,AE102)-IF(AF102="",0,AF102))</f>
        <v/>
      </c>
      <c r="AH102" s="26">
        <f>IFERROR(AG102/U102,"")</f>
        <v/>
      </c>
      <c r="AI102" s="29" t="n"/>
      <c r="AJ102" s="29" t="n"/>
      <c r="AK102" s="29" t="n"/>
      <c r="AL102" s="29" t="n"/>
    </row>
    <row r="103">
      <c r="A103" s="20">
        <f>IF(B103="","","TR-"&amp;TEXT(ROW()-2,"0000"))</f>
        <v/>
      </c>
      <c r="B103" s="39" t="n"/>
      <c r="C103" s="40" t="n"/>
      <c r="D103" s="40" t="n"/>
      <c r="E103" s="23" t="n"/>
      <c r="F103" s="23" t="n"/>
      <c r="G103" s="23" t="n"/>
      <c r="H103" s="23" t="n"/>
      <c r="I103" s="23" t="n"/>
      <c r="J103" s="23" t="n"/>
      <c r="K103" s="23" t="n"/>
      <c r="L103" s="41" t="n"/>
      <c r="M103" s="41" t="n"/>
      <c r="N103" s="41" t="n"/>
      <c r="O103" s="41" t="n"/>
      <c r="P103" s="41" t="n"/>
      <c r="Q103" s="41" t="n"/>
      <c r="R103" s="23" t="n"/>
      <c r="S103" s="23" t="n"/>
      <c r="T103" s="42">
        <f>IF(OR(L103="",M103=""),"",IFERROR(Settings!$B$3*Settings!$B$5,0))</f>
        <v/>
      </c>
      <c r="U103" s="42">
        <f>IF(OR(L103="",M103="",R103=""),"",ABS(L103-M103)*R103*IF(S103="",1,S103))</f>
        <v/>
      </c>
      <c r="V103" s="26">
        <f>IFERROR(ABS(N103-L103)/ABS(L103-M103),"")</f>
        <v/>
      </c>
      <c r="W103" s="23" t="n"/>
      <c r="X103" s="23" t="n"/>
      <c r="Y103" s="23" t="n"/>
      <c r="Z103" s="23" t="n"/>
      <c r="AA103" s="23" t="n"/>
      <c r="AB103" s="23" t="n"/>
      <c r="AC103" s="23" t="n"/>
      <c r="AD103" s="42">
        <f>IF(OR(L103="",Q103="",R103=""),"",IF(H103="Long",(Q103-L103)*R103*IF(S103="",1,S103),(L103-Q103)*R103*IF(S103="",1,S103)))</f>
        <v/>
      </c>
      <c r="AE103" s="41" t="n"/>
      <c r="AF103" s="41" t="n"/>
      <c r="AG103" s="42">
        <f>IF(AD103="","",AD103-IF(AE103="",0,AE103)-IF(AF103="",0,AF103))</f>
        <v/>
      </c>
      <c r="AH103" s="26">
        <f>IFERROR(AG103/U103,"")</f>
        <v/>
      </c>
      <c r="AI103" s="23" t="n"/>
      <c r="AJ103" s="23" t="n"/>
      <c r="AK103" s="23" t="n"/>
      <c r="AL103" s="23" t="n"/>
    </row>
    <row r="104">
      <c r="A104" s="20">
        <f>IF(B104="","","TR-"&amp;TEXT(ROW()-2,"0000"))</f>
        <v/>
      </c>
      <c r="B104" s="43" t="n"/>
      <c r="C104" s="44" t="n"/>
      <c r="D104" s="44" t="n"/>
      <c r="E104" s="29" t="n"/>
      <c r="F104" s="29" t="n"/>
      <c r="G104" s="29" t="n"/>
      <c r="H104" s="29" t="n"/>
      <c r="I104" s="29" t="n"/>
      <c r="J104" s="29" t="n"/>
      <c r="K104" s="29" t="n"/>
      <c r="L104" s="45" t="n"/>
      <c r="M104" s="45" t="n"/>
      <c r="N104" s="45" t="n"/>
      <c r="O104" s="45" t="n"/>
      <c r="P104" s="45" t="n"/>
      <c r="Q104" s="45" t="n"/>
      <c r="R104" s="29" t="n"/>
      <c r="S104" s="29" t="n"/>
      <c r="T104" s="42">
        <f>IF(OR(L104="",M104=""),"",IFERROR(Settings!$B$3*Settings!$B$5,0))</f>
        <v/>
      </c>
      <c r="U104" s="42">
        <f>IF(OR(L104="",M104="",R104=""),"",ABS(L104-M104)*R104*IF(S104="",1,S104))</f>
        <v/>
      </c>
      <c r="V104" s="26">
        <f>IFERROR(ABS(N104-L104)/ABS(L104-M104),"")</f>
        <v/>
      </c>
      <c r="W104" s="29" t="n"/>
      <c r="X104" s="29" t="n"/>
      <c r="Y104" s="29" t="n"/>
      <c r="Z104" s="29" t="n"/>
      <c r="AA104" s="29" t="n"/>
      <c r="AB104" s="29" t="n"/>
      <c r="AC104" s="29" t="n"/>
      <c r="AD104" s="42">
        <f>IF(OR(L104="",Q104="",R104=""),"",IF(H104="Long",(Q104-L104)*R104*IF(S104="",1,S104),(L104-Q104)*R104*IF(S104="",1,S104)))</f>
        <v/>
      </c>
      <c r="AE104" s="45" t="n"/>
      <c r="AF104" s="45" t="n"/>
      <c r="AG104" s="42">
        <f>IF(AD104="","",AD104-IF(AE104="",0,AE104)-IF(AF104="",0,AF104))</f>
        <v/>
      </c>
      <c r="AH104" s="26">
        <f>IFERROR(AG104/U104,"")</f>
        <v/>
      </c>
      <c r="AI104" s="29" t="n"/>
      <c r="AJ104" s="29" t="n"/>
      <c r="AK104" s="29" t="n"/>
      <c r="AL104" s="29" t="n"/>
    </row>
    <row r="105">
      <c r="A105" s="20">
        <f>IF(B105="","","TR-"&amp;TEXT(ROW()-2,"0000"))</f>
        <v/>
      </c>
      <c r="B105" s="39" t="n"/>
      <c r="C105" s="40" t="n"/>
      <c r="D105" s="40" t="n"/>
      <c r="E105" s="23" t="n"/>
      <c r="F105" s="23" t="n"/>
      <c r="G105" s="23" t="n"/>
      <c r="H105" s="23" t="n"/>
      <c r="I105" s="23" t="n"/>
      <c r="J105" s="23" t="n"/>
      <c r="K105" s="23" t="n"/>
      <c r="L105" s="41" t="n"/>
      <c r="M105" s="41" t="n"/>
      <c r="N105" s="41" t="n"/>
      <c r="O105" s="41" t="n"/>
      <c r="P105" s="41" t="n"/>
      <c r="Q105" s="41" t="n"/>
      <c r="R105" s="23" t="n"/>
      <c r="S105" s="23" t="n"/>
      <c r="T105" s="42">
        <f>IF(OR(L105="",M105=""),"",IFERROR(Settings!$B$3*Settings!$B$5,0))</f>
        <v/>
      </c>
      <c r="U105" s="42">
        <f>IF(OR(L105="",M105="",R105=""),"",ABS(L105-M105)*R105*IF(S105="",1,S105))</f>
        <v/>
      </c>
      <c r="V105" s="26">
        <f>IFERROR(ABS(N105-L105)/ABS(L105-M105),"")</f>
        <v/>
      </c>
      <c r="W105" s="23" t="n"/>
      <c r="X105" s="23" t="n"/>
      <c r="Y105" s="23" t="n"/>
      <c r="Z105" s="23" t="n"/>
      <c r="AA105" s="23" t="n"/>
      <c r="AB105" s="23" t="n"/>
      <c r="AC105" s="23" t="n"/>
      <c r="AD105" s="42">
        <f>IF(OR(L105="",Q105="",R105=""),"",IF(H105="Long",(Q105-L105)*R105*IF(S105="",1,S105),(L105-Q105)*R105*IF(S105="",1,S105)))</f>
        <v/>
      </c>
      <c r="AE105" s="41" t="n"/>
      <c r="AF105" s="41" t="n"/>
      <c r="AG105" s="42">
        <f>IF(AD105="","",AD105-IF(AE105="",0,AE105)-IF(AF105="",0,AF105))</f>
        <v/>
      </c>
      <c r="AH105" s="26">
        <f>IFERROR(AG105/U105,"")</f>
        <v/>
      </c>
      <c r="AI105" s="23" t="n"/>
      <c r="AJ105" s="23" t="n"/>
      <c r="AK105" s="23" t="n"/>
      <c r="AL105" s="23" t="n"/>
    </row>
    <row r="106">
      <c r="A106" s="20">
        <f>IF(B106="","","TR-"&amp;TEXT(ROW()-2,"0000"))</f>
        <v/>
      </c>
      <c r="B106" s="43" t="n"/>
      <c r="C106" s="44" t="n"/>
      <c r="D106" s="44" t="n"/>
      <c r="E106" s="29" t="n"/>
      <c r="F106" s="29" t="n"/>
      <c r="G106" s="29" t="n"/>
      <c r="H106" s="29" t="n"/>
      <c r="I106" s="29" t="n"/>
      <c r="J106" s="29" t="n"/>
      <c r="K106" s="29" t="n"/>
      <c r="L106" s="45" t="n"/>
      <c r="M106" s="45" t="n"/>
      <c r="N106" s="45" t="n"/>
      <c r="O106" s="45" t="n"/>
      <c r="P106" s="45" t="n"/>
      <c r="Q106" s="45" t="n"/>
      <c r="R106" s="29" t="n"/>
      <c r="S106" s="29" t="n"/>
      <c r="T106" s="42">
        <f>IF(OR(L106="",M106=""),"",IFERROR(Settings!$B$3*Settings!$B$5,0))</f>
        <v/>
      </c>
      <c r="U106" s="42">
        <f>IF(OR(L106="",M106="",R106=""),"",ABS(L106-M106)*R106*IF(S106="",1,S106))</f>
        <v/>
      </c>
      <c r="V106" s="26">
        <f>IFERROR(ABS(N106-L106)/ABS(L106-M106),"")</f>
        <v/>
      </c>
      <c r="W106" s="29" t="n"/>
      <c r="X106" s="29" t="n"/>
      <c r="Y106" s="29" t="n"/>
      <c r="Z106" s="29" t="n"/>
      <c r="AA106" s="29" t="n"/>
      <c r="AB106" s="29" t="n"/>
      <c r="AC106" s="29" t="n"/>
      <c r="AD106" s="42">
        <f>IF(OR(L106="",Q106="",R106=""),"",IF(H106="Long",(Q106-L106)*R106*IF(S106="",1,S106),(L106-Q106)*R106*IF(S106="",1,S106)))</f>
        <v/>
      </c>
      <c r="AE106" s="45" t="n"/>
      <c r="AF106" s="45" t="n"/>
      <c r="AG106" s="42">
        <f>IF(AD106="","",AD106-IF(AE106="",0,AE106)-IF(AF106="",0,AF106))</f>
        <v/>
      </c>
      <c r="AH106" s="26">
        <f>IFERROR(AG106/U106,"")</f>
        <v/>
      </c>
      <c r="AI106" s="29" t="n"/>
      <c r="AJ106" s="29" t="n"/>
      <c r="AK106" s="29" t="n"/>
      <c r="AL106" s="29" t="n"/>
    </row>
    <row r="107">
      <c r="A107" s="20">
        <f>IF(B107="","","TR-"&amp;TEXT(ROW()-2,"0000"))</f>
        <v/>
      </c>
      <c r="B107" s="39" t="n"/>
      <c r="C107" s="40" t="n"/>
      <c r="D107" s="40" t="n"/>
      <c r="E107" s="23" t="n"/>
      <c r="F107" s="23" t="n"/>
      <c r="G107" s="23" t="n"/>
      <c r="H107" s="23" t="n"/>
      <c r="I107" s="23" t="n"/>
      <c r="J107" s="23" t="n"/>
      <c r="K107" s="23" t="n"/>
      <c r="L107" s="41" t="n"/>
      <c r="M107" s="41" t="n"/>
      <c r="N107" s="41" t="n"/>
      <c r="O107" s="41" t="n"/>
      <c r="P107" s="41" t="n"/>
      <c r="Q107" s="41" t="n"/>
      <c r="R107" s="23" t="n"/>
      <c r="S107" s="23" t="n"/>
      <c r="T107" s="42">
        <f>IF(OR(L107="",M107=""),"",IFERROR(Settings!$B$3*Settings!$B$5,0))</f>
        <v/>
      </c>
      <c r="U107" s="42">
        <f>IF(OR(L107="",M107="",R107=""),"",ABS(L107-M107)*R107*IF(S107="",1,S107))</f>
        <v/>
      </c>
      <c r="V107" s="26">
        <f>IFERROR(ABS(N107-L107)/ABS(L107-M107),"")</f>
        <v/>
      </c>
      <c r="W107" s="23" t="n"/>
      <c r="X107" s="23" t="n"/>
      <c r="Y107" s="23" t="n"/>
      <c r="Z107" s="23" t="n"/>
      <c r="AA107" s="23" t="n"/>
      <c r="AB107" s="23" t="n"/>
      <c r="AC107" s="23" t="n"/>
      <c r="AD107" s="42">
        <f>IF(OR(L107="",Q107="",R107=""),"",IF(H107="Long",(Q107-L107)*R107*IF(S107="",1,S107),(L107-Q107)*R107*IF(S107="",1,S107)))</f>
        <v/>
      </c>
      <c r="AE107" s="41" t="n"/>
      <c r="AF107" s="41" t="n"/>
      <c r="AG107" s="42">
        <f>IF(AD107="","",AD107-IF(AE107="",0,AE107)-IF(AF107="",0,AF107))</f>
        <v/>
      </c>
      <c r="AH107" s="26">
        <f>IFERROR(AG107/U107,"")</f>
        <v/>
      </c>
      <c r="AI107" s="23" t="n"/>
      <c r="AJ107" s="23" t="n"/>
      <c r="AK107" s="23" t="n"/>
      <c r="AL107" s="23" t="n"/>
    </row>
    <row r="108">
      <c r="A108" s="20">
        <f>IF(B108="","","TR-"&amp;TEXT(ROW()-2,"0000"))</f>
        <v/>
      </c>
      <c r="B108" s="43" t="n"/>
      <c r="C108" s="44" t="n"/>
      <c r="D108" s="44" t="n"/>
      <c r="E108" s="29" t="n"/>
      <c r="F108" s="29" t="n"/>
      <c r="G108" s="29" t="n"/>
      <c r="H108" s="29" t="n"/>
      <c r="I108" s="29" t="n"/>
      <c r="J108" s="29" t="n"/>
      <c r="K108" s="29" t="n"/>
      <c r="L108" s="45" t="n"/>
      <c r="M108" s="45" t="n"/>
      <c r="N108" s="45" t="n"/>
      <c r="O108" s="45" t="n"/>
      <c r="P108" s="45" t="n"/>
      <c r="Q108" s="45" t="n"/>
      <c r="R108" s="29" t="n"/>
      <c r="S108" s="29" t="n"/>
      <c r="T108" s="42">
        <f>IF(OR(L108="",M108=""),"",IFERROR(Settings!$B$3*Settings!$B$5,0))</f>
        <v/>
      </c>
      <c r="U108" s="42">
        <f>IF(OR(L108="",M108="",R108=""),"",ABS(L108-M108)*R108*IF(S108="",1,S108))</f>
        <v/>
      </c>
      <c r="V108" s="26">
        <f>IFERROR(ABS(N108-L108)/ABS(L108-M108),"")</f>
        <v/>
      </c>
      <c r="W108" s="29" t="n"/>
      <c r="X108" s="29" t="n"/>
      <c r="Y108" s="29" t="n"/>
      <c r="Z108" s="29" t="n"/>
      <c r="AA108" s="29" t="n"/>
      <c r="AB108" s="29" t="n"/>
      <c r="AC108" s="29" t="n"/>
      <c r="AD108" s="42">
        <f>IF(OR(L108="",Q108="",R108=""),"",IF(H108="Long",(Q108-L108)*R108*IF(S108="",1,S108),(L108-Q108)*R108*IF(S108="",1,S108)))</f>
        <v/>
      </c>
      <c r="AE108" s="45" t="n"/>
      <c r="AF108" s="45" t="n"/>
      <c r="AG108" s="42">
        <f>IF(AD108="","",AD108-IF(AE108="",0,AE108)-IF(AF108="",0,AF108))</f>
        <v/>
      </c>
      <c r="AH108" s="26">
        <f>IFERROR(AG108/U108,"")</f>
        <v/>
      </c>
      <c r="AI108" s="29" t="n"/>
      <c r="AJ108" s="29" t="n"/>
      <c r="AK108" s="29" t="n"/>
      <c r="AL108" s="29" t="n"/>
    </row>
    <row r="109">
      <c r="A109" s="20">
        <f>IF(B109="","","TR-"&amp;TEXT(ROW()-2,"0000"))</f>
        <v/>
      </c>
      <c r="B109" s="39" t="n"/>
      <c r="C109" s="40" t="n"/>
      <c r="D109" s="40" t="n"/>
      <c r="E109" s="23" t="n"/>
      <c r="F109" s="23" t="n"/>
      <c r="G109" s="23" t="n"/>
      <c r="H109" s="23" t="n"/>
      <c r="I109" s="23" t="n"/>
      <c r="J109" s="23" t="n"/>
      <c r="K109" s="23" t="n"/>
      <c r="L109" s="41" t="n"/>
      <c r="M109" s="41" t="n"/>
      <c r="N109" s="41" t="n"/>
      <c r="O109" s="41" t="n"/>
      <c r="P109" s="41" t="n"/>
      <c r="Q109" s="41" t="n"/>
      <c r="R109" s="23" t="n"/>
      <c r="S109" s="23" t="n"/>
      <c r="T109" s="42">
        <f>IF(OR(L109="",M109=""),"",IFERROR(Settings!$B$3*Settings!$B$5,0))</f>
        <v/>
      </c>
      <c r="U109" s="42">
        <f>IF(OR(L109="",M109="",R109=""),"",ABS(L109-M109)*R109*IF(S109="",1,S109))</f>
        <v/>
      </c>
      <c r="V109" s="26">
        <f>IFERROR(ABS(N109-L109)/ABS(L109-M109),"")</f>
        <v/>
      </c>
      <c r="W109" s="23" t="n"/>
      <c r="X109" s="23" t="n"/>
      <c r="Y109" s="23" t="n"/>
      <c r="Z109" s="23" t="n"/>
      <c r="AA109" s="23" t="n"/>
      <c r="AB109" s="23" t="n"/>
      <c r="AC109" s="23" t="n"/>
      <c r="AD109" s="42">
        <f>IF(OR(L109="",Q109="",R109=""),"",IF(H109="Long",(Q109-L109)*R109*IF(S109="",1,S109),(L109-Q109)*R109*IF(S109="",1,S109)))</f>
        <v/>
      </c>
      <c r="AE109" s="41" t="n"/>
      <c r="AF109" s="41" t="n"/>
      <c r="AG109" s="42">
        <f>IF(AD109="","",AD109-IF(AE109="",0,AE109)-IF(AF109="",0,AF109))</f>
        <v/>
      </c>
      <c r="AH109" s="26">
        <f>IFERROR(AG109/U109,"")</f>
        <v/>
      </c>
      <c r="AI109" s="23" t="n"/>
      <c r="AJ109" s="23" t="n"/>
      <c r="AK109" s="23" t="n"/>
      <c r="AL109" s="23" t="n"/>
    </row>
    <row r="110">
      <c r="A110" s="20">
        <f>IF(B110="","","TR-"&amp;TEXT(ROW()-2,"0000"))</f>
        <v/>
      </c>
      <c r="B110" s="43" t="n"/>
      <c r="C110" s="44" t="n"/>
      <c r="D110" s="44" t="n"/>
      <c r="E110" s="29" t="n"/>
      <c r="F110" s="29" t="n"/>
      <c r="G110" s="29" t="n"/>
      <c r="H110" s="29" t="n"/>
      <c r="I110" s="29" t="n"/>
      <c r="J110" s="29" t="n"/>
      <c r="K110" s="29" t="n"/>
      <c r="L110" s="45" t="n"/>
      <c r="M110" s="45" t="n"/>
      <c r="N110" s="45" t="n"/>
      <c r="O110" s="45" t="n"/>
      <c r="P110" s="45" t="n"/>
      <c r="Q110" s="45" t="n"/>
      <c r="R110" s="29" t="n"/>
      <c r="S110" s="29" t="n"/>
      <c r="T110" s="42">
        <f>IF(OR(L110="",M110=""),"",IFERROR(Settings!$B$3*Settings!$B$5,0))</f>
        <v/>
      </c>
      <c r="U110" s="42">
        <f>IF(OR(L110="",M110="",R110=""),"",ABS(L110-M110)*R110*IF(S110="",1,S110))</f>
        <v/>
      </c>
      <c r="V110" s="26">
        <f>IFERROR(ABS(N110-L110)/ABS(L110-M110),"")</f>
        <v/>
      </c>
      <c r="W110" s="29" t="n"/>
      <c r="X110" s="29" t="n"/>
      <c r="Y110" s="29" t="n"/>
      <c r="Z110" s="29" t="n"/>
      <c r="AA110" s="29" t="n"/>
      <c r="AB110" s="29" t="n"/>
      <c r="AC110" s="29" t="n"/>
      <c r="AD110" s="42">
        <f>IF(OR(L110="",Q110="",R110=""),"",IF(H110="Long",(Q110-L110)*R110*IF(S110="",1,S110),(L110-Q110)*R110*IF(S110="",1,S110)))</f>
        <v/>
      </c>
      <c r="AE110" s="45" t="n"/>
      <c r="AF110" s="45" t="n"/>
      <c r="AG110" s="42">
        <f>IF(AD110="","",AD110-IF(AE110="",0,AE110)-IF(AF110="",0,AF110))</f>
        <v/>
      </c>
      <c r="AH110" s="26">
        <f>IFERROR(AG110/U110,"")</f>
        <v/>
      </c>
      <c r="AI110" s="29" t="n"/>
      <c r="AJ110" s="29" t="n"/>
      <c r="AK110" s="29" t="n"/>
      <c r="AL110" s="29" t="n"/>
    </row>
    <row r="111">
      <c r="A111" s="20">
        <f>IF(B111="","","TR-"&amp;TEXT(ROW()-2,"0000"))</f>
        <v/>
      </c>
      <c r="B111" s="39" t="n"/>
      <c r="C111" s="40" t="n"/>
      <c r="D111" s="40" t="n"/>
      <c r="E111" s="23" t="n"/>
      <c r="F111" s="23" t="n"/>
      <c r="G111" s="23" t="n"/>
      <c r="H111" s="23" t="n"/>
      <c r="I111" s="23" t="n"/>
      <c r="J111" s="23" t="n"/>
      <c r="K111" s="23" t="n"/>
      <c r="L111" s="41" t="n"/>
      <c r="M111" s="41" t="n"/>
      <c r="N111" s="41" t="n"/>
      <c r="O111" s="41" t="n"/>
      <c r="P111" s="41" t="n"/>
      <c r="Q111" s="41" t="n"/>
      <c r="R111" s="23" t="n"/>
      <c r="S111" s="23" t="n"/>
      <c r="T111" s="42">
        <f>IF(OR(L111="",M111=""),"",IFERROR(Settings!$B$3*Settings!$B$5,0))</f>
        <v/>
      </c>
      <c r="U111" s="42">
        <f>IF(OR(L111="",M111="",R111=""),"",ABS(L111-M111)*R111*IF(S111="",1,S111))</f>
        <v/>
      </c>
      <c r="V111" s="26">
        <f>IFERROR(ABS(N111-L111)/ABS(L111-M111),"")</f>
        <v/>
      </c>
      <c r="W111" s="23" t="n"/>
      <c r="X111" s="23" t="n"/>
      <c r="Y111" s="23" t="n"/>
      <c r="Z111" s="23" t="n"/>
      <c r="AA111" s="23" t="n"/>
      <c r="AB111" s="23" t="n"/>
      <c r="AC111" s="23" t="n"/>
      <c r="AD111" s="42">
        <f>IF(OR(L111="",Q111="",R111=""),"",IF(H111="Long",(Q111-L111)*R111*IF(S111="",1,S111),(L111-Q111)*R111*IF(S111="",1,S111)))</f>
        <v/>
      </c>
      <c r="AE111" s="41" t="n"/>
      <c r="AF111" s="41" t="n"/>
      <c r="AG111" s="42">
        <f>IF(AD111="","",AD111-IF(AE111="",0,AE111)-IF(AF111="",0,AF111))</f>
        <v/>
      </c>
      <c r="AH111" s="26">
        <f>IFERROR(AG111/U111,"")</f>
        <v/>
      </c>
      <c r="AI111" s="23" t="n"/>
      <c r="AJ111" s="23" t="n"/>
      <c r="AK111" s="23" t="n"/>
      <c r="AL111" s="23" t="n"/>
    </row>
    <row r="112">
      <c r="A112" s="20">
        <f>IF(B112="","","TR-"&amp;TEXT(ROW()-2,"0000"))</f>
        <v/>
      </c>
      <c r="B112" s="43" t="n"/>
      <c r="C112" s="44" t="n"/>
      <c r="D112" s="44" t="n"/>
      <c r="E112" s="29" t="n"/>
      <c r="F112" s="29" t="n"/>
      <c r="G112" s="29" t="n"/>
      <c r="H112" s="29" t="n"/>
      <c r="I112" s="29" t="n"/>
      <c r="J112" s="29" t="n"/>
      <c r="K112" s="29" t="n"/>
      <c r="L112" s="45" t="n"/>
      <c r="M112" s="45" t="n"/>
      <c r="N112" s="45" t="n"/>
      <c r="O112" s="45" t="n"/>
      <c r="P112" s="45" t="n"/>
      <c r="Q112" s="45" t="n"/>
      <c r="R112" s="29" t="n"/>
      <c r="S112" s="29" t="n"/>
      <c r="T112" s="42">
        <f>IF(OR(L112="",M112=""),"",IFERROR(Settings!$B$3*Settings!$B$5,0))</f>
        <v/>
      </c>
      <c r="U112" s="42">
        <f>IF(OR(L112="",M112="",R112=""),"",ABS(L112-M112)*R112*IF(S112="",1,S112))</f>
        <v/>
      </c>
      <c r="V112" s="26">
        <f>IFERROR(ABS(N112-L112)/ABS(L112-M112),"")</f>
        <v/>
      </c>
      <c r="W112" s="29" t="n"/>
      <c r="X112" s="29" t="n"/>
      <c r="Y112" s="29" t="n"/>
      <c r="Z112" s="29" t="n"/>
      <c r="AA112" s="29" t="n"/>
      <c r="AB112" s="29" t="n"/>
      <c r="AC112" s="29" t="n"/>
      <c r="AD112" s="42">
        <f>IF(OR(L112="",Q112="",R112=""),"",IF(H112="Long",(Q112-L112)*R112*IF(S112="",1,S112),(L112-Q112)*R112*IF(S112="",1,S112)))</f>
        <v/>
      </c>
      <c r="AE112" s="45" t="n"/>
      <c r="AF112" s="45" t="n"/>
      <c r="AG112" s="42">
        <f>IF(AD112="","",AD112-IF(AE112="",0,AE112)-IF(AF112="",0,AF112))</f>
        <v/>
      </c>
      <c r="AH112" s="26">
        <f>IFERROR(AG112/U112,"")</f>
        <v/>
      </c>
      <c r="AI112" s="29" t="n"/>
      <c r="AJ112" s="29" t="n"/>
      <c r="AK112" s="29" t="n"/>
      <c r="AL112" s="29" t="n"/>
    </row>
    <row r="113">
      <c r="A113" s="20">
        <f>IF(B113="","","TR-"&amp;TEXT(ROW()-2,"0000"))</f>
        <v/>
      </c>
      <c r="B113" s="39" t="n"/>
      <c r="C113" s="40" t="n"/>
      <c r="D113" s="40" t="n"/>
      <c r="E113" s="23" t="n"/>
      <c r="F113" s="23" t="n"/>
      <c r="G113" s="23" t="n"/>
      <c r="H113" s="23" t="n"/>
      <c r="I113" s="23" t="n"/>
      <c r="J113" s="23" t="n"/>
      <c r="K113" s="23" t="n"/>
      <c r="L113" s="41" t="n"/>
      <c r="M113" s="41" t="n"/>
      <c r="N113" s="41" t="n"/>
      <c r="O113" s="41" t="n"/>
      <c r="P113" s="41" t="n"/>
      <c r="Q113" s="41" t="n"/>
      <c r="R113" s="23" t="n"/>
      <c r="S113" s="23" t="n"/>
      <c r="T113" s="42">
        <f>IF(OR(L113="",M113=""),"",IFERROR(Settings!$B$3*Settings!$B$5,0))</f>
        <v/>
      </c>
      <c r="U113" s="42">
        <f>IF(OR(L113="",M113="",R113=""),"",ABS(L113-M113)*R113*IF(S113="",1,S113))</f>
        <v/>
      </c>
      <c r="V113" s="26">
        <f>IFERROR(ABS(N113-L113)/ABS(L113-M113),"")</f>
        <v/>
      </c>
      <c r="W113" s="23" t="n"/>
      <c r="X113" s="23" t="n"/>
      <c r="Y113" s="23" t="n"/>
      <c r="Z113" s="23" t="n"/>
      <c r="AA113" s="23" t="n"/>
      <c r="AB113" s="23" t="n"/>
      <c r="AC113" s="23" t="n"/>
      <c r="AD113" s="42">
        <f>IF(OR(L113="",Q113="",R113=""),"",IF(H113="Long",(Q113-L113)*R113*IF(S113="",1,S113),(L113-Q113)*R113*IF(S113="",1,S113)))</f>
        <v/>
      </c>
      <c r="AE113" s="41" t="n"/>
      <c r="AF113" s="41" t="n"/>
      <c r="AG113" s="42">
        <f>IF(AD113="","",AD113-IF(AE113="",0,AE113)-IF(AF113="",0,AF113))</f>
        <v/>
      </c>
      <c r="AH113" s="26">
        <f>IFERROR(AG113/U113,"")</f>
        <v/>
      </c>
      <c r="AI113" s="23" t="n"/>
      <c r="AJ113" s="23" t="n"/>
      <c r="AK113" s="23" t="n"/>
      <c r="AL113" s="23" t="n"/>
    </row>
    <row r="114">
      <c r="A114" s="20">
        <f>IF(B114="","","TR-"&amp;TEXT(ROW()-2,"0000"))</f>
        <v/>
      </c>
      <c r="B114" s="43" t="n"/>
      <c r="C114" s="44" t="n"/>
      <c r="D114" s="44" t="n"/>
      <c r="E114" s="29" t="n"/>
      <c r="F114" s="29" t="n"/>
      <c r="G114" s="29" t="n"/>
      <c r="H114" s="29" t="n"/>
      <c r="I114" s="29" t="n"/>
      <c r="J114" s="29" t="n"/>
      <c r="K114" s="29" t="n"/>
      <c r="L114" s="45" t="n"/>
      <c r="M114" s="45" t="n"/>
      <c r="N114" s="45" t="n"/>
      <c r="O114" s="45" t="n"/>
      <c r="P114" s="45" t="n"/>
      <c r="Q114" s="45" t="n"/>
      <c r="R114" s="29" t="n"/>
      <c r="S114" s="29" t="n"/>
      <c r="T114" s="42">
        <f>IF(OR(L114="",M114=""),"",IFERROR(Settings!$B$3*Settings!$B$5,0))</f>
        <v/>
      </c>
      <c r="U114" s="42">
        <f>IF(OR(L114="",M114="",R114=""),"",ABS(L114-M114)*R114*IF(S114="",1,S114))</f>
        <v/>
      </c>
      <c r="V114" s="26">
        <f>IFERROR(ABS(N114-L114)/ABS(L114-M114),"")</f>
        <v/>
      </c>
      <c r="W114" s="29" t="n"/>
      <c r="X114" s="29" t="n"/>
      <c r="Y114" s="29" t="n"/>
      <c r="Z114" s="29" t="n"/>
      <c r="AA114" s="29" t="n"/>
      <c r="AB114" s="29" t="n"/>
      <c r="AC114" s="29" t="n"/>
      <c r="AD114" s="42">
        <f>IF(OR(L114="",Q114="",R114=""),"",IF(H114="Long",(Q114-L114)*R114*IF(S114="",1,S114),(L114-Q114)*R114*IF(S114="",1,S114)))</f>
        <v/>
      </c>
      <c r="AE114" s="45" t="n"/>
      <c r="AF114" s="45" t="n"/>
      <c r="AG114" s="42">
        <f>IF(AD114="","",AD114-IF(AE114="",0,AE114)-IF(AF114="",0,AF114))</f>
        <v/>
      </c>
      <c r="AH114" s="26">
        <f>IFERROR(AG114/U114,"")</f>
        <v/>
      </c>
      <c r="AI114" s="29" t="n"/>
      <c r="AJ114" s="29" t="n"/>
      <c r="AK114" s="29" t="n"/>
      <c r="AL114" s="29" t="n"/>
    </row>
    <row r="115">
      <c r="A115" s="20">
        <f>IF(B115="","","TR-"&amp;TEXT(ROW()-2,"0000"))</f>
        <v/>
      </c>
      <c r="B115" s="39" t="n"/>
      <c r="C115" s="40" t="n"/>
      <c r="D115" s="40" t="n"/>
      <c r="E115" s="23" t="n"/>
      <c r="F115" s="23" t="n"/>
      <c r="G115" s="23" t="n"/>
      <c r="H115" s="23" t="n"/>
      <c r="I115" s="23" t="n"/>
      <c r="J115" s="23" t="n"/>
      <c r="K115" s="23" t="n"/>
      <c r="L115" s="41" t="n"/>
      <c r="M115" s="41" t="n"/>
      <c r="N115" s="41" t="n"/>
      <c r="O115" s="41" t="n"/>
      <c r="P115" s="41" t="n"/>
      <c r="Q115" s="41" t="n"/>
      <c r="R115" s="23" t="n"/>
      <c r="S115" s="23" t="n"/>
      <c r="T115" s="42">
        <f>IF(OR(L115="",M115=""),"",IFERROR(Settings!$B$3*Settings!$B$5,0))</f>
        <v/>
      </c>
      <c r="U115" s="42">
        <f>IF(OR(L115="",M115="",R115=""),"",ABS(L115-M115)*R115*IF(S115="",1,S115))</f>
        <v/>
      </c>
      <c r="V115" s="26">
        <f>IFERROR(ABS(N115-L115)/ABS(L115-M115),"")</f>
        <v/>
      </c>
      <c r="W115" s="23" t="n"/>
      <c r="X115" s="23" t="n"/>
      <c r="Y115" s="23" t="n"/>
      <c r="Z115" s="23" t="n"/>
      <c r="AA115" s="23" t="n"/>
      <c r="AB115" s="23" t="n"/>
      <c r="AC115" s="23" t="n"/>
      <c r="AD115" s="42">
        <f>IF(OR(L115="",Q115="",R115=""),"",IF(H115="Long",(Q115-L115)*R115*IF(S115="",1,S115),(L115-Q115)*R115*IF(S115="",1,S115)))</f>
        <v/>
      </c>
      <c r="AE115" s="41" t="n"/>
      <c r="AF115" s="41" t="n"/>
      <c r="AG115" s="42">
        <f>IF(AD115="","",AD115-IF(AE115="",0,AE115)-IF(AF115="",0,AF115))</f>
        <v/>
      </c>
      <c r="AH115" s="26">
        <f>IFERROR(AG115/U115,"")</f>
        <v/>
      </c>
      <c r="AI115" s="23" t="n"/>
      <c r="AJ115" s="23" t="n"/>
      <c r="AK115" s="23" t="n"/>
      <c r="AL115" s="23" t="n"/>
    </row>
    <row r="116">
      <c r="A116" s="20">
        <f>IF(B116="","","TR-"&amp;TEXT(ROW()-2,"0000"))</f>
        <v/>
      </c>
      <c r="B116" s="43" t="n"/>
      <c r="C116" s="44" t="n"/>
      <c r="D116" s="44" t="n"/>
      <c r="E116" s="29" t="n"/>
      <c r="F116" s="29" t="n"/>
      <c r="G116" s="29" t="n"/>
      <c r="H116" s="29" t="n"/>
      <c r="I116" s="29" t="n"/>
      <c r="J116" s="29" t="n"/>
      <c r="K116" s="29" t="n"/>
      <c r="L116" s="45" t="n"/>
      <c r="M116" s="45" t="n"/>
      <c r="N116" s="45" t="n"/>
      <c r="O116" s="45" t="n"/>
      <c r="P116" s="45" t="n"/>
      <c r="Q116" s="45" t="n"/>
      <c r="R116" s="29" t="n"/>
      <c r="S116" s="29" t="n"/>
      <c r="T116" s="42">
        <f>IF(OR(L116="",M116=""),"",IFERROR(Settings!$B$3*Settings!$B$5,0))</f>
        <v/>
      </c>
      <c r="U116" s="42">
        <f>IF(OR(L116="",M116="",R116=""),"",ABS(L116-M116)*R116*IF(S116="",1,S116))</f>
        <v/>
      </c>
      <c r="V116" s="26">
        <f>IFERROR(ABS(N116-L116)/ABS(L116-M116),"")</f>
        <v/>
      </c>
      <c r="W116" s="29" t="n"/>
      <c r="X116" s="29" t="n"/>
      <c r="Y116" s="29" t="n"/>
      <c r="Z116" s="29" t="n"/>
      <c r="AA116" s="29" t="n"/>
      <c r="AB116" s="29" t="n"/>
      <c r="AC116" s="29" t="n"/>
      <c r="AD116" s="42">
        <f>IF(OR(L116="",Q116="",R116=""),"",IF(H116="Long",(Q116-L116)*R116*IF(S116="",1,S116),(L116-Q116)*R116*IF(S116="",1,S116)))</f>
        <v/>
      </c>
      <c r="AE116" s="45" t="n"/>
      <c r="AF116" s="45" t="n"/>
      <c r="AG116" s="42">
        <f>IF(AD116="","",AD116-IF(AE116="",0,AE116)-IF(AF116="",0,AF116))</f>
        <v/>
      </c>
      <c r="AH116" s="26">
        <f>IFERROR(AG116/U116,"")</f>
        <v/>
      </c>
      <c r="AI116" s="29" t="n"/>
      <c r="AJ116" s="29" t="n"/>
      <c r="AK116" s="29" t="n"/>
      <c r="AL116" s="29" t="n"/>
    </row>
    <row r="117">
      <c r="A117" s="20">
        <f>IF(B117="","","TR-"&amp;TEXT(ROW()-2,"0000"))</f>
        <v/>
      </c>
      <c r="B117" s="39" t="n"/>
      <c r="C117" s="40" t="n"/>
      <c r="D117" s="40" t="n"/>
      <c r="E117" s="23" t="n"/>
      <c r="F117" s="23" t="n"/>
      <c r="G117" s="23" t="n"/>
      <c r="H117" s="23" t="n"/>
      <c r="I117" s="23" t="n"/>
      <c r="J117" s="23" t="n"/>
      <c r="K117" s="23" t="n"/>
      <c r="L117" s="41" t="n"/>
      <c r="M117" s="41" t="n"/>
      <c r="N117" s="41" t="n"/>
      <c r="O117" s="41" t="n"/>
      <c r="P117" s="41" t="n"/>
      <c r="Q117" s="41" t="n"/>
      <c r="R117" s="23" t="n"/>
      <c r="S117" s="23" t="n"/>
      <c r="T117" s="42">
        <f>IF(OR(L117="",M117=""),"",IFERROR(Settings!$B$3*Settings!$B$5,0))</f>
        <v/>
      </c>
      <c r="U117" s="42">
        <f>IF(OR(L117="",M117="",R117=""),"",ABS(L117-M117)*R117*IF(S117="",1,S117))</f>
        <v/>
      </c>
      <c r="V117" s="26">
        <f>IFERROR(ABS(N117-L117)/ABS(L117-M117),"")</f>
        <v/>
      </c>
      <c r="W117" s="23" t="n"/>
      <c r="X117" s="23" t="n"/>
      <c r="Y117" s="23" t="n"/>
      <c r="Z117" s="23" t="n"/>
      <c r="AA117" s="23" t="n"/>
      <c r="AB117" s="23" t="n"/>
      <c r="AC117" s="23" t="n"/>
      <c r="AD117" s="42">
        <f>IF(OR(L117="",Q117="",R117=""),"",IF(H117="Long",(Q117-L117)*R117*IF(S117="",1,S117),(L117-Q117)*R117*IF(S117="",1,S117)))</f>
        <v/>
      </c>
      <c r="AE117" s="41" t="n"/>
      <c r="AF117" s="41" t="n"/>
      <c r="AG117" s="42">
        <f>IF(AD117="","",AD117-IF(AE117="",0,AE117)-IF(AF117="",0,AF117))</f>
        <v/>
      </c>
      <c r="AH117" s="26">
        <f>IFERROR(AG117/U117,"")</f>
        <v/>
      </c>
      <c r="AI117" s="23" t="n"/>
      <c r="AJ117" s="23" t="n"/>
      <c r="AK117" s="23" t="n"/>
      <c r="AL117" s="23" t="n"/>
    </row>
    <row r="118">
      <c r="A118" s="20">
        <f>IF(B118="","","TR-"&amp;TEXT(ROW()-2,"0000"))</f>
        <v/>
      </c>
      <c r="B118" s="43" t="n"/>
      <c r="C118" s="44" t="n"/>
      <c r="D118" s="44" t="n"/>
      <c r="E118" s="29" t="n"/>
      <c r="F118" s="29" t="n"/>
      <c r="G118" s="29" t="n"/>
      <c r="H118" s="29" t="n"/>
      <c r="I118" s="29" t="n"/>
      <c r="J118" s="29" t="n"/>
      <c r="K118" s="29" t="n"/>
      <c r="L118" s="45" t="n"/>
      <c r="M118" s="45" t="n"/>
      <c r="N118" s="45" t="n"/>
      <c r="O118" s="45" t="n"/>
      <c r="P118" s="45" t="n"/>
      <c r="Q118" s="45" t="n"/>
      <c r="R118" s="29" t="n"/>
      <c r="S118" s="29" t="n"/>
      <c r="T118" s="42">
        <f>IF(OR(L118="",M118=""),"",IFERROR(Settings!$B$3*Settings!$B$5,0))</f>
        <v/>
      </c>
      <c r="U118" s="42">
        <f>IF(OR(L118="",M118="",R118=""),"",ABS(L118-M118)*R118*IF(S118="",1,S118))</f>
        <v/>
      </c>
      <c r="V118" s="26">
        <f>IFERROR(ABS(N118-L118)/ABS(L118-M118),"")</f>
        <v/>
      </c>
      <c r="W118" s="29" t="n"/>
      <c r="X118" s="29" t="n"/>
      <c r="Y118" s="29" t="n"/>
      <c r="Z118" s="29" t="n"/>
      <c r="AA118" s="29" t="n"/>
      <c r="AB118" s="29" t="n"/>
      <c r="AC118" s="29" t="n"/>
      <c r="AD118" s="42">
        <f>IF(OR(L118="",Q118="",R118=""),"",IF(H118="Long",(Q118-L118)*R118*IF(S118="",1,S118),(L118-Q118)*R118*IF(S118="",1,S118)))</f>
        <v/>
      </c>
      <c r="AE118" s="45" t="n"/>
      <c r="AF118" s="45" t="n"/>
      <c r="AG118" s="42">
        <f>IF(AD118="","",AD118-IF(AE118="",0,AE118)-IF(AF118="",0,AF118))</f>
        <v/>
      </c>
      <c r="AH118" s="26">
        <f>IFERROR(AG118/U118,"")</f>
        <v/>
      </c>
      <c r="AI118" s="29" t="n"/>
      <c r="AJ118" s="29" t="n"/>
      <c r="AK118" s="29" t="n"/>
      <c r="AL118" s="29" t="n"/>
    </row>
    <row r="119">
      <c r="A119" s="20">
        <f>IF(B119="","","TR-"&amp;TEXT(ROW()-2,"0000"))</f>
        <v/>
      </c>
      <c r="B119" s="39" t="n"/>
      <c r="C119" s="40" t="n"/>
      <c r="D119" s="40" t="n"/>
      <c r="E119" s="23" t="n"/>
      <c r="F119" s="23" t="n"/>
      <c r="G119" s="23" t="n"/>
      <c r="H119" s="23" t="n"/>
      <c r="I119" s="23" t="n"/>
      <c r="J119" s="23" t="n"/>
      <c r="K119" s="23" t="n"/>
      <c r="L119" s="41" t="n"/>
      <c r="M119" s="41" t="n"/>
      <c r="N119" s="41" t="n"/>
      <c r="O119" s="41" t="n"/>
      <c r="P119" s="41" t="n"/>
      <c r="Q119" s="41" t="n"/>
      <c r="R119" s="23" t="n"/>
      <c r="S119" s="23" t="n"/>
      <c r="T119" s="42">
        <f>IF(OR(L119="",M119=""),"",IFERROR(Settings!$B$3*Settings!$B$5,0))</f>
        <v/>
      </c>
      <c r="U119" s="42">
        <f>IF(OR(L119="",M119="",R119=""),"",ABS(L119-M119)*R119*IF(S119="",1,S119))</f>
        <v/>
      </c>
      <c r="V119" s="26">
        <f>IFERROR(ABS(N119-L119)/ABS(L119-M119),"")</f>
        <v/>
      </c>
      <c r="W119" s="23" t="n"/>
      <c r="X119" s="23" t="n"/>
      <c r="Y119" s="23" t="n"/>
      <c r="Z119" s="23" t="n"/>
      <c r="AA119" s="23" t="n"/>
      <c r="AB119" s="23" t="n"/>
      <c r="AC119" s="23" t="n"/>
      <c r="AD119" s="42">
        <f>IF(OR(L119="",Q119="",R119=""),"",IF(H119="Long",(Q119-L119)*R119*IF(S119="",1,S119),(L119-Q119)*R119*IF(S119="",1,S119)))</f>
        <v/>
      </c>
      <c r="AE119" s="41" t="n"/>
      <c r="AF119" s="41" t="n"/>
      <c r="AG119" s="42">
        <f>IF(AD119="","",AD119-IF(AE119="",0,AE119)-IF(AF119="",0,AF119))</f>
        <v/>
      </c>
      <c r="AH119" s="26">
        <f>IFERROR(AG119/U119,"")</f>
        <v/>
      </c>
      <c r="AI119" s="23" t="n"/>
      <c r="AJ119" s="23" t="n"/>
      <c r="AK119" s="23" t="n"/>
      <c r="AL119" s="23" t="n"/>
    </row>
    <row r="120">
      <c r="A120" s="20">
        <f>IF(B120="","","TR-"&amp;TEXT(ROW()-2,"0000"))</f>
        <v/>
      </c>
      <c r="B120" s="43" t="n"/>
      <c r="C120" s="44" t="n"/>
      <c r="D120" s="44" t="n"/>
      <c r="E120" s="29" t="n"/>
      <c r="F120" s="29" t="n"/>
      <c r="G120" s="29" t="n"/>
      <c r="H120" s="29" t="n"/>
      <c r="I120" s="29" t="n"/>
      <c r="J120" s="29" t="n"/>
      <c r="K120" s="29" t="n"/>
      <c r="L120" s="45" t="n"/>
      <c r="M120" s="45" t="n"/>
      <c r="N120" s="45" t="n"/>
      <c r="O120" s="45" t="n"/>
      <c r="P120" s="45" t="n"/>
      <c r="Q120" s="45" t="n"/>
      <c r="R120" s="29" t="n"/>
      <c r="S120" s="29" t="n"/>
      <c r="T120" s="42">
        <f>IF(OR(L120="",M120=""),"",IFERROR(Settings!$B$3*Settings!$B$5,0))</f>
        <v/>
      </c>
      <c r="U120" s="42">
        <f>IF(OR(L120="",M120="",R120=""),"",ABS(L120-M120)*R120*IF(S120="",1,S120))</f>
        <v/>
      </c>
      <c r="V120" s="26">
        <f>IFERROR(ABS(N120-L120)/ABS(L120-M120),"")</f>
        <v/>
      </c>
      <c r="W120" s="29" t="n"/>
      <c r="X120" s="29" t="n"/>
      <c r="Y120" s="29" t="n"/>
      <c r="Z120" s="29" t="n"/>
      <c r="AA120" s="29" t="n"/>
      <c r="AB120" s="29" t="n"/>
      <c r="AC120" s="29" t="n"/>
      <c r="AD120" s="42">
        <f>IF(OR(L120="",Q120="",R120=""),"",IF(H120="Long",(Q120-L120)*R120*IF(S120="",1,S120),(L120-Q120)*R120*IF(S120="",1,S120)))</f>
        <v/>
      </c>
      <c r="AE120" s="45" t="n"/>
      <c r="AF120" s="45" t="n"/>
      <c r="AG120" s="42">
        <f>IF(AD120="","",AD120-IF(AE120="",0,AE120)-IF(AF120="",0,AF120))</f>
        <v/>
      </c>
      <c r="AH120" s="26">
        <f>IFERROR(AG120/U120,"")</f>
        <v/>
      </c>
      <c r="AI120" s="29" t="n"/>
      <c r="AJ120" s="29" t="n"/>
      <c r="AK120" s="29" t="n"/>
      <c r="AL120" s="29" t="n"/>
    </row>
    <row r="121">
      <c r="A121" s="20">
        <f>IF(B121="","","TR-"&amp;TEXT(ROW()-2,"0000"))</f>
        <v/>
      </c>
      <c r="B121" s="39" t="n"/>
      <c r="C121" s="40" t="n"/>
      <c r="D121" s="40" t="n"/>
      <c r="E121" s="23" t="n"/>
      <c r="F121" s="23" t="n"/>
      <c r="G121" s="23" t="n"/>
      <c r="H121" s="23" t="n"/>
      <c r="I121" s="23" t="n"/>
      <c r="J121" s="23" t="n"/>
      <c r="K121" s="23" t="n"/>
      <c r="L121" s="41" t="n"/>
      <c r="M121" s="41" t="n"/>
      <c r="N121" s="41" t="n"/>
      <c r="O121" s="41" t="n"/>
      <c r="P121" s="41" t="n"/>
      <c r="Q121" s="41" t="n"/>
      <c r="R121" s="23" t="n"/>
      <c r="S121" s="23" t="n"/>
      <c r="T121" s="42">
        <f>IF(OR(L121="",M121=""),"",IFERROR(Settings!$B$3*Settings!$B$5,0))</f>
        <v/>
      </c>
      <c r="U121" s="42">
        <f>IF(OR(L121="",M121="",R121=""),"",ABS(L121-M121)*R121*IF(S121="",1,S121))</f>
        <v/>
      </c>
      <c r="V121" s="26">
        <f>IFERROR(ABS(N121-L121)/ABS(L121-M121),"")</f>
        <v/>
      </c>
      <c r="W121" s="23" t="n"/>
      <c r="X121" s="23" t="n"/>
      <c r="Y121" s="23" t="n"/>
      <c r="Z121" s="23" t="n"/>
      <c r="AA121" s="23" t="n"/>
      <c r="AB121" s="23" t="n"/>
      <c r="AC121" s="23" t="n"/>
      <c r="AD121" s="42">
        <f>IF(OR(L121="",Q121="",R121=""),"",IF(H121="Long",(Q121-L121)*R121*IF(S121="",1,S121),(L121-Q121)*R121*IF(S121="",1,S121)))</f>
        <v/>
      </c>
      <c r="AE121" s="41" t="n"/>
      <c r="AF121" s="41" t="n"/>
      <c r="AG121" s="42">
        <f>IF(AD121="","",AD121-IF(AE121="",0,AE121)-IF(AF121="",0,AF121))</f>
        <v/>
      </c>
      <c r="AH121" s="26">
        <f>IFERROR(AG121/U121,"")</f>
        <v/>
      </c>
      <c r="AI121" s="23" t="n"/>
      <c r="AJ121" s="23" t="n"/>
      <c r="AK121" s="23" t="n"/>
      <c r="AL121" s="23" t="n"/>
    </row>
    <row r="122">
      <c r="A122" s="20">
        <f>IF(B122="","","TR-"&amp;TEXT(ROW()-2,"0000"))</f>
        <v/>
      </c>
      <c r="B122" s="43" t="n"/>
      <c r="C122" s="44" t="n"/>
      <c r="D122" s="44" t="n"/>
      <c r="E122" s="29" t="n"/>
      <c r="F122" s="29" t="n"/>
      <c r="G122" s="29" t="n"/>
      <c r="H122" s="29" t="n"/>
      <c r="I122" s="29" t="n"/>
      <c r="J122" s="29" t="n"/>
      <c r="K122" s="29" t="n"/>
      <c r="L122" s="45" t="n"/>
      <c r="M122" s="45" t="n"/>
      <c r="N122" s="45" t="n"/>
      <c r="O122" s="45" t="n"/>
      <c r="P122" s="45" t="n"/>
      <c r="Q122" s="45" t="n"/>
      <c r="R122" s="29" t="n"/>
      <c r="S122" s="29" t="n"/>
      <c r="T122" s="42">
        <f>IF(OR(L122="",M122=""),"",IFERROR(Settings!$B$3*Settings!$B$5,0))</f>
        <v/>
      </c>
      <c r="U122" s="42">
        <f>IF(OR(L122="",M122="",R122=""),"",ABS(L122-M122)*R122*IF(S122="",1,S122))</f>
        <v/>
      </c>
      <c r="V122" s="26">
        <f>IFERROR(ABS(N122-L122)/ABS(L122-M122),"")</f>
        <v/>
      </c>
      <c r="W122" s="29" t="n"/>
      <c r="X122" s="29" t="n"/>
      <c r="Y122" s="29" t="n"/>
      <c r="Z122" s="29" t="n"/>
      <c r="AA122" s="29" t="n"/>
      <c r="AB122" s="29" t="n"/>
      <c r="AC122" s="29" t="n"/>
      <c r="AD122" s="42">
        <f>IF(OR(L122="",Q122="",R122=""),"",IF(H122="Long",(Q122-L122)*R122*IF(S122="",1,S122),(L122-Q122)*R122*IF(S122="",1,S122)))</f>
        <v/>
      </c>
      <c r="AE122" s="45" t="n"/>
      <c r="AF122" s="45" t="n"/>
      <c r="AG122" s="42">
        <f>IF(AD122="","",AD122-IF(AE122="",0,AE122)-IF(AF122="",0,AF122))</f>
        <v/>
      </c>
      <c r="AH122" s="26">
        <f>IFERROR(AG122/U122,"")</f>
        <v/>
      </c>
      <c r="AI122" s="29" t="n"/>
      <c r="AJ122" s="29" t="n"/>
      <c r="AK122" s="29" t="n"/>
      <c r="AL122" s="29" t="n"/>
    </row>
    <row r="123">
      <c r="A123" s="20">
        <f>IF(B123="","","TR-"&amp;TEXT(ROW()-2,"0000"))</f>
        <v/>
      </c>
      <c r="B123" s="39" t="n"/>
      <c r="C123" s="40" t="n"/>
      <c r="D123" s="40" t="n"/>
      <c r="E123" s="23" t="n"/>
      <c r="F123" s="23" t="n"/>
      <c r="G123" s="23" t="n"/>
      <c r="H123" s="23" t="n"/>
      <c r="I123" s="23" t="n"/>
      <c r="J123" s="23" t="n"/>
      <c r="K123" s="23" t="n"/>
      <c r="L123" s="41" t="n"/>
      <c r="M123" s="41" t="n"/>
      <c r="N123" s="41" t="n"/>
      <c r="O123" s="41" t="n"/>
      <c r="P123" s="41" t="n"/>
      <c r="Q123" s="41" t="n"/>
      <c r="R123" s="23" t="n"/>
      <c r="S123" s="23" t="n"/>
      <c r="T123" s="42">
        <f>IF(OR(L123="",M123=""),"",IFERROR(Settings!$B$3*Settings!$B$5,0))</f>
        <v/>
      </c>
      <c r="U123" s="42">
        <f>IF(OR(L123="",M123="",R123=""),"",ABS(L123-M123)*R123*IF(S123="",1,S123))</f>
        <v/>
      </c>
      <c r="V123" s="26">
        <f>IFERROR(ABS(N123-L123)/ABS(L123-M123),"")</f>
        <v/>
      </c>
      <c r="W123" s="23" t="n"/>
      <c r="X123" s="23" t="n"/>
      <c r="Y123" s="23" t="n"/>
      <c r="Z123" s="23" t="n"/>
      <c r="AA123" s="23" t="n"/>
      <c r="AB123" s="23" t="n"/>
      <c r="AC123" s="23" t="n"/>
      <c r="AD123" s="42">
        <f>IF(OR(L123="",Q123="",R123=""),"",IF(H123="Long",(Q123-L123)*R123*IF(S123="",1,S123),(L123-Q123)*R123*IF(S123="",1,S123)))</f>
        <v/>
      </c>
      <c r="AE123" s="41" t="n"/>
      <c r="AF123" s="41" t="n"/>
      <c r="AG123" s="42">
        <f>IF(AD123="","",AD123-IF(AE123="",0,AE123)-IF(AF123="",0,AF123))</f>
        <v/>
      </c>
      <c r="AH123" s="26">
        <f>IFERROR(AG123/U123,"")</f>
        <v/>
      </c>
      <c r="AI123" s="23" t="n"/>
      <c r="AJ123" s="23" t="n"/>
      <c r="AK123" s="23" t="n"/>
      <c r="AL123" s="23" t="n"/>
    </row>
    <row r="124">
      <c r="A124" s="20">
        <f>IF(B124="","","TR-"&amp;TEXT(ROW()-2,"0000"))</f>
        <v/>
      </c>
      <c r="B124" s="43" t="n"/>
      <c r="C124" s="44" t="n"/>
      <c r="D124" s="44" t="n"/>
      <c r="E124" s="29" t="n"/>
      <c r="F124" s="29" t="n"/>
      <c r="G124" s="29" t="n"/>
      <c r="H124" s="29" t="n"/>
      <c r="I124" s="29" t="n"/>
      <c r="J124" s="29" t="n"/>
      <c r="K124" s="29" t="n"/>
      <c r="L124" s="45" t="n"/>
      <c r="M124" s="45" t="n"/>
      <c r="N124" s="45" t="n"/>
      <c r="O124" s="45" t="n"/>
      <c r="P124" s="45" t="n"/>
      <c r="Q124" s="45" t="n"/>
      <c r="R124" s="29" t="n"/>
      <c r="S124" s="29" t="n"/>
      <c r="T124" s="42">
        <f>IF(OR(L124="",M124=""),"",IFERROR(Settings!$B$3*Settings!$B$5,0))</f>
        <v/>
      </c>
      <c r="U124" s="42">
        <f>IF(OR(L124="",M124="",R124=""),"",ABS(L124-M124)*R124*IF(S124="",1,S124))</f>
        <v/>
      </c>
      <c r="V124" s="26">
        <f>IFERROR(ABS(N124-L124)/ABS(L124-M124),"")</f>
        <v/>
      </c>
      <c r="W124" s="29" t="n"/>
      <c r="X124" s="29" t="n"/>
      <c r="Y124" s="29" t="n"/>
      <c r="Z124" s="29" t="n"/>
      <c r="AA124" s="29" t="n"/>
      <c r="AB124" s="29" t="n"/>
      <c r="AC124" s="29" t="n"/>
      <c r="AD124" s="42">
        <f>IF(OR(L124="",Q124="",R124=""),"",IF(H124="Long",(Q124-L124)*R124*IF(S124="",1,S124),(L124-Q124)*R124*IF(S124="",1,S124)))</f>
        <v/>
      </c>
      <c r="AE124" s="45" t="n"/>
      <c r="AF124" s="45" t="n"/>
      <c r="AG124" s="42">
        <f>IF(AD124="","",AD124-IF(AE124="",0,AE124)-IF(AF124="",0,AF124))</f>
        <v/>
      </c>
      <c r="AH124" s="26">
        <f>IFERROR(AG124/U124,"")</f>
        <v/>
      </c>
      <c r="AI124" s="29" t="n"/>
      <c r="AJ124" s="29" t="n"/>
      <c r="AK124" s="29" t="n"/>
      <c r="AL124" s="29" t="n"/>
    </row>
    <row r="125">
      <c r="A125" s="20">
        <f>IF(B125="","","TR-"&amp;TEXT(ROW()-2,"0000"))</f>
        <v/>
      </c>
      <c r="B125" s="39" t="n"/>
      <c r="C125" s="40" t="n"/>
      <c r="D125" s="40" t="n"/>
      <c r="E125" s="23" t="n"/>
      <c r="F125" s="23" t="n"/>
      <c r="G125" s="23" t="n"/>
      <c r="H125" s="23" t="n"/>
      <c r="I125" s="23" t="n"/>
      <c r="J125" s="23" t="n"/>
      <c r="K125" s="23" t="n"/>
      <c r="L125" s="41" t="n"/>
      <c r="M125" s="41" t="n"/>
      <c r="N125" s="41" t="n"/>
      <c r="O125" s="41" t="n"/>
      <c r="P125" s="41" t="n"/>
      <c r="Q125" s="41" t="n"/>
      <c r="R125" s="23" t="n"/>
      <c r="S125" s="23" t="n"/>
      <c r="T125" s="42">
        <f>IF(OR(L125="",M125=""),"",IFERROR(Settings!$B$3*Settings!$B$5,0))</f>
        <v/>
      </c>
      <c r="U125" s="42">
        <f>IF(OR(L125="",M125="",R125=""),"",ABS(L125-M125)*R125*IF(S125="",1,S125))</f>
        <v/>
      </c>
      <c r="V125" s="26">
        <f>IFERROR(ABS(N125-L125)/ABS(L125-M125),"")</f>
        <v/>
      </c>
      <c r="W125" s="23" t="n"/>
      <c r="X125" s="23" t="n"/>
      <c r="Y125" s="23" t="n"/>
      <c r="Z125" s="23" t="n"/>
      <c r="AA125" s="23" t="n"/>
      <c r="AB125" s="23" t="n"/>
      <c r="AC125" s="23" t="n"/>
      <c r="AD125" s="42">
        <f>IF(OR(L125="",Q125="",R125=""),"",IF(H125="Long",(Q125-L125)*R125*IF(S125="",1,S125),(L125-Q125)*R125*IF(S125="",1,S125)))</f>
        <v/>
      </c>
      <c r="AE125" s="41" t="n"/>
      <c r="AF125" s="41" t="n"/>
      <c r="AG125" s="42">
        <f>IF(AD125="","",AD125-IF(AE125="",0,AE125)-IF(AF125="",0,AF125))</f>
        <v/>
      </c>
      <c r="AH125" s="26">
        <f>IFERROR(AG125/U125,"")</f>
        <v/>
      </c>
      <c r="AI125" s="23" t="n"/>
      <c r="AJ125" s="23" t="n"/>
      <c r="AK125" s="23" t="n"/>
      <c r="AL125" s="23" t="n"/>
    </row>
    <row r="126">
      <c r="A126" s="20">
        <f>IF(B126="","","TR-"&amp;TEXT(ROW()-2,"0000"))</f>
        <v/>
      </c>
      <c r="B126" s="43" t="n"/>
      <c r="C126" s="44" t="n"/>
      <c r="D126" s="44" t="n"/>
      <c r="E126" s="29" t="n"/>
      <c r="F126" s="29" t="n"/>
      <c r="G126" s="29" t="n"/>
      <c r="H126" s="29" t="n"/>
      <c r="I126" s="29" t="n"/>
      <c r="J126" s="29" t="n"/>
      <c r="K126" s="29" t="n"/>
      <c r="L126" s="45" t="n"/>
      <c r="M126" s="45" t="n"/>
      <c r="N126" s="45" t="n"/>
      <c r="O126" s="45" t="n"/>
      <c r="P126" s="45" t="n"/>
      <c r="Q126" s="45" t="n"/>
      <c r="R126" s="29" t="n"/>
      <c r="S126" s="29" t="n"/>
      <c r="T126" s="42">
        <f>IF(OR(L126="",M126=""),"",IFERROR(Settings!$B$3*Settings!$B$5,0))</f>
        <v/>
      </c>
      <c r="U126" s="42">
        <f>IF(OR(L126="",M126="",R126=""),"",ABS(L126-M126)*R126*IF(S126="",1,S126))</f>
        <v/>
      </c>
      <c r="V126" s="26">
        <f>IFERROR(ABS(N126-L126)/ABS(L126-M126),"")</f>
        <v/>
      </c>
      <c r="W126" s="29" t="n"/>
      <c r="X126" s="29" t="n"/>
      <c r="Y126" s="29" t="n"/>
      <c r="Z126" s="29" t="n"/>
      <c r="AA126" s="29" t="n"/>
      <c r="AB126" s="29" t="n"/>
      <c r="AC126" s="29" t="n"/>
      <c r="AD126" s="42">
        <f>IF(OR(L126="",Q126="",R126=""),"",IF(H126="Long",(Q126-L126)*R126*IF(S126="",1,S126),(L126-Q126)*R126*IF(S126="",1,S126)))</f>
        <v/>
      </c>
      <c r="AE126" s="45" t="n"/>
      <c r="AF126" s="45" t="n"/>
      <c r="AG126" s="42">
        <f>IF(AD126="","",AD126-IF(AE126="",0,AE126)-IF(AF126="",0,AF126))</f>
        <v/>
      </c>
      <c r="AH126" s="26">
        <f>IFERROR(AG126/U126,"")</f>
        <v/>
      </c>
      <c r="AI126" s="29" t="n"/>
      <c r="AJ126" s="29" t="n"/>
      <c r="AK126" s="29" t="n"/>
      <c r="AL126" s="29" t="n"/>
    </row>
    <row r="127">
      <c r="A127" s="20">
        <f>IF(B127="","","TR-"&amp;TEXT(ROW()-2,"0000"))</f>
        <v/>
      </c>
      <c r="B127" s="39" t="n"/>
      <c r="C127" s="40" t="n"/>
      <c r="D127" s="40" t="n"/>
      <c r="E127" s="23" t="n"/>
      <c r="F127" s="23" t="n"/>
      <c r="G127" s="23" t="n"/>
      <c r="H127" s="23" t="n"/>
      <c r="I127" s="23" t="n"/>
      <c r="J127" s="23" t="n"/>
      <c r="K127" s="23" t="n"/>
      <c r="L127" s="41" t="n"/>
      <c r="M127" s="41" t="n"/>
      <c r="N127" s="41" t="n"/>
      <c r="O127" s="41" t="n"/>
      <c r="P127" s="41" t="n"/>
      <c r="Q127" s="41" t="n"/>
      <c r="R127" s="23" t="n"/>
      <c r="S127" s="23" t="n"/>
      <c r="T127" s="42">
        <f>IF(OR(L127="",M127=""),"",IFERROR(Settings!$B$3*Settings!$B$5,0))</f>
        <v/>
      </c>
      <c r="U127" s="42">
        <f>IF(OR(L127="",M127="",R127=""),"",ABS(L127-M127)*R127*IF(S127="",1,S127))</f>
        <v/>
      </c>
      <c r="V127" s="26">
        <f>IFERROR(ABS(N127-L127)/ABS(L127-M127),"")</f>
        <v/>
      </c>
      <c r="W127" s="23" t="n"/>
      <c r="X127" s="23" t="n"/>
      <c r="Y127" s="23" t="n"/>
      <c r="Z127" s="23" t="n"/>
      <c r="AA127" s="23" t="n"/>
      <c r="AB127" s="23" t="n"/>
      <c r="AC127" s="23" t="n"/>
      <c r="AD127" s="42">
        <f>IF(OR(L127="",Q127="",R127=""),"",IF(H127="Long",(Q127-L127)*R127*IF(S127="",1,S127),(L127-Q127)*R127*IF(S127="",1,S127)))</f>
        <v/>
      </c>
      <c r="AE127" s="41" t="n"/>
      <c r="AF127" s="41" t="n"/>
      <c r="AG127" s="42">
        <f>IF(AD127="","",AD127-IF(AE127="",0,AE127)-IF(AF127="",0,AF127))</f>
        <v/>
      </c>
      <c r="AH127" s="26">
        <f>IFERROR(AG127/U127,"")</f>
        <v/>
      </c>
      <c r="AI127" s="23" t="n"/>
      <c r="AJ127" s="23" t="n"/>
      <c r="AK127" s="23" t="n"/>
      <c r="AL127" s="23" t="n"/>
    </row>
    <row r="128">
      <c r="A128" s="20">
        <f>IF(B128="","","TR-"&amp;TEXT(ROW()-2,"0000"))</f>
        <v/>
      </c>
      <c r="B128" s="43" t="n"/>
      <c r="C128" s="44" t="n"/>
      <c r="D128" s="44" t="n"/>
      <c r="E128" s="29" t="n"/>
      <c r="F128" s="29" t="n"/>
      <c r="G128" s="29" t="n"/>
      <c r="H128" s="29" t="n"/>
      <c r="I128" s="29" t="n"/>
      <c r="J128" s="29" t="n"/>
      <c r="K128" s="29" t="n"/>
      <c r="L128" s="45" t="n"/>
      <c r="M128" s="45" t="n"/>
      <c r="N128" s="45" t="n"/>
      <c r="O128" s="45" t="n"/>
      <c r="P128" s="45" t="n"/>
      <c r="Q128" s="45" t="n"/>
      <c r="R128" s="29" t="n"/>
      <c r="S128" s="29" t="n"/>
      <c r="T128" s="42">
        <f>IF(OR(L128="",M128=""),"",IFERROR(Settings!$B$3*Settings!$B$5,0))</f>
        <v/>
      </c>
      <c r="U128" s="42">
        <f>IF(OR(L128="",M128="",R128=""),"",ABS(L128-M128)*R128*IF(S128="",1,S128))</f>
        <v/>
      </c>
      <c r="V128" s="26">
        <f>IFERROR(ABS(N128-L128)/ABS(L128-M128),"")</f>
        <v/>
      </c>
      <c r="W128" s="29" t="n"/>
      <c r="X128" s="29" t="n"/>
      <c r="Y128" s="29" t="n"/>
      <c r="Z128" s="29" t="n"/>
      <c r="AA128" s="29" t="n"/>
      <c r="AB128" s="29" t="n"/>
      <c r="AC128" s="29" t="n"/>
      <c r="AD128" s="42">
        <f>IF(OR(L128="",Q128="",R128=""),"",IF(H128="Long",(Q128-L128)*R128*IF(S128="",1,S128),(L128-Q128)*R128*IF(S128="",1,S128)))</f>
        <v/>
      </c>
      <c r="AE128" s="45" t="n"/>
      <c r="AF128" s="45" t="n"/>
      <c r="AG128" s="42">
        <f>IF(AD128="","",AD128-IF(AE128="",0,AE128)-IF(AF128="",0,AF128))</f>
        <v/>
      </c>
      <c r="AH128" s="26">
        <f>IFERROR(AG128/U128,"")</f>
        <v/>
      </c>
      <c r="AI128" s="29" t="n"/>
      <c r="AJ128" s="29" t="n"/>
      <c r="AK128" s="29" t="n"/>
      <c r="AL128" s="29" t="n"/>
    </row>
    <row r="129">
      <c r="A129" s="20">
        <f>IF(B129="","","TR-"&amp;TEXT(ROW()-2,"0000"))</f>
        <v/>
      </c>
      <c r="B129" s="39" t="n"/>
      <c r="C129" s="40" t="n"/>
      <c r="D129" s="40" t="n"/>
      <c r="E129" s="23" t="n"/>
      <c r="F129" s="23" t="n"/>
      <c r="G129" s="23" t="n"/>
      <c r="H129" s="23" t="n"/>
      <c r="I129" s="23" t="n"/>
      <c r="J129" s="23" t="n"/>
      <c r="K129" s="23" t="n"/>
      <c r="L129" s="41" t="n"/>
      <c r="M129" s="41" t="n"/>
      <c r="N129" s="41" t="n"/>
      <c r="O129" s="41" t="n"/>
      <c r="P129" s="41" t="n"/>
      <c r="Q129" s="41" t="n"/>
      <c r="R129" s="23" t="n"/>
      <c r="S129" s="23" t="n"/>
      <c r="T129" s="42">
        <f>IF(OR(L129="",M129=""),"",IFERROR(Settings!$B$3*Settings!$B$5,0))</f>
        <v/>
      </c>
      <c r="U129" s="42">
        <f>IF(OR(L129="",M129="",R129=""),"",ABS(L129-M129)*R129*IF(S129="",1,S129))</f>
        <v/>
      </c>
      <c r="V129" s="26">
        <f>IFERROR(ABS(N129-L129)/ABS(L129-M129),"")</f>
        <v/>
      </c>
      <c r="W129" s="23" t="n"/>
      <c r="X129" s="23" t="n"/>
      <c r="Y129" s="23" t="n"/>
      <c r="Z129" s="23" t="n"/>
      <c r="AA129" s="23" t="n"/>
      <c r="AB129" s="23" t="n"/>
      <c r="AC129" s="23" t="n"/>
      <c r="AD129" s="42">
        <f>IF(OR(L129="",Q129="",R129=""),"",IF(H129="Long",(Q129-L129)*R129*IF(S129="",1,S129),(L129-Q129)*R129*IF(S129="",1,S129)))</f>
        <v/>
      </c>
      <c r="AE129" s="41" t="n"/>
      <c r="AF129" s="41" t="n"/>
      <c r="AG129" s="42">
        <f>IF(AD129="","",AD129-IF(AE129="",0,AE129)-IF(AF129="",0,AF129))</f>
        <v/>
      </c>
      <c r="AH129" s="26">
        <f>IFERROR(AG129/U129,"")</f>
        <v/>
      </c>
      <c r="AI129" s="23" t="n"/>
      <c r="AJ129" s="23" t="n"/>
      <c r="AK129" s="23" t="n"/>
      <c r="AL129" s="23" t="n"/>
    </row>
    <row r="130">
      <c r="A130" s="20">
        <f>IF(B130="","","TR-"&amp;TEXT(ROW()-2,"0000"))</f>
        <v/>
      </c>
      <c r="B130" s="43" t="n"/>
      <c r="C130" s="44" t="n"/>
      <c r="D130" s="44" t="n"/>
      <c r="E130" s="29" t="n"/>
      <c r="F130" s="29" t="n"/>
      <c r="G130" s="29" t="n"/>
      <c r="H130" s="29" t="n"/>
      <c r="I130" s="29" t="n"/>
      <c r="J130" s="29" t="n"/>
      <c r="K130" s="29" t="n"/>
      <c r="L130" s="45" t="n"/>
      <c r="M130" s="45" t="n"/>
      <c r="N130" s="45" t="n"/>
      <c r="O130" s="45" t="n"/>
      <c r="P130" s="45" t="n"/>
      <c r="Q130" s="45" t="n"/>
      <c r="R130" s="29" t="n"/>
      <c r="S130" s="29" t="n"/>
      <c r="T130" s="42">
        <f>IF(OR(L130="",M130=""),"",IFERROR(Settings!$B$3*Settings!$B$5,0))</f>
        <v/>
      </c>
      <c r="U130" s="42">
        <f>IF(OR(L130="",M130="",R130=""),"",ABS(L130-M130)*R130*IF(S130="",1,S130))</f>
        <v/>
      </c>
      <c r="V130" s="26">
        <f>IFERROR(ABS(N130-L130)/ABS(L130-M130),"")</f>
        <v/>
      </c>
      <c r="W130" s="29" t="n"/>
      <c r="X130" s="29" t="n"/>
      <c r="Y130" s="29" t="n"/>
      <c r="Z130" s="29" t="n"/>
      <c r="AA130" s="29" t="n"/>
      <c r="AB130" s="29" t="n"/>
      <c r="AC130" s="29" t="n"/>
      <c r="AD130" s="42">
        <f>IF(OR(L130="",Q130="",R130=""),"",IF(H130="Long",(Q130-L130)*R130*IF(S130="",1,S130),(L130-Q130)*R130*IF(S130="",1,S130)))</f>
        <v/>
      </c>
      <c r="AE130" s="45" t="n"/>
      <c r="AF130" s="45" t="n"/>
      <c r="AG130" s="42">
        <f>IF(AD130="","",AD130-IF(AE130="",0,AE130)-IF(AF130="",0,AF130))</f>
        <v/>
      </c>
      <c r="AH130" s="26">
        <f>IFERROR(AG130/U130,"")</f>
        <v/>
      </c>
      <c r="AI130" s="29" t="n"/>
      <c r="AJ130" s="29" t="n"/>
      <c r="AK130" s="29" t="n"/>
      <c r="AL130" s="29" t="n"/>
    </row>
    <row r="131">
      <c r="A131" s="20">
        <f>IF(B131="","","TR-"&amp;TEXT(ROW()-2,"0000"))</f>
        <v/>
      </c>
      <c r="B131" s="39" t="n"/>
      <c r="C131" s="40" t="n"/>
      <c r="D131" s="40" t="n"/>
      <c r="E131" s="23" t="n"/>
      <c r="F131" s="23" t="n"/>
      <c r="G131" s="23" t="n"/>
      <c r="H131" s="23" t="n"/>
      <c r="I131" s="23" t="n"/>
      <c r="J131" s="23" t="n"/>
      <c r="K131" s="23" t="n"/>
      <c r="L131" s="41" t="n"/>
      <c r="M131" s="41" t="n"/>
      <c r="N131" s="41" t="n"/>
      <c r="O131" s="41" t="n"/>
      <c r="P131" s="41" t="n"/>
      <c r="Q131" s="41" t="n"/>
      <c r="R131" s="23" t="n"/>
      <c r="S131" s="23" t="n"/>
      <c r="T131" s="42">
        <f>IF(OR(L131="",M131=""),"",IFERROR(Settings!$B$3*Settings!$B$5,0))</f>
        <v/>
      </c>
      <c r="U131" s="42">
        <f>IF(OR(L131="",M131="",R131=""),"",ABS(L131-M131)*R131*IF(S131="",1,S131))</f>
        <v/>
      </c>
      <c r="V131" s="26">
        <f>IFERROR(ABS(N131-L131)/ABS(L131-M131),"")</f>
        <v/>
      </c>
      <c r="W131" s="23" t="n"/>
      <c r="X131" s="23" t="n"/>
      <c r="Y131" s="23" t="n"/>
      <c r="Z131" s="23" t="n"/>
      <c r="AA131" s="23" t="n"/>
      <c r="AB131" s="23" t="n"/>
      <c r="AC131" s="23" t="n"/>
      <c r="AD131" s="42">
        <f>IF(OR(L131="",Q131="",R131=""),"",IF(H131="Long",(Q131-L131)*R131*IF(S131="",1,S131),(L131-Q131)*R131*IF(S131="",1,S131)))</f>
        <v/>
      </c>
      <c r="AE131" s="41" t="n"/>
      <c r="AF131" s="41" t="n"/>
      <c r="AG131" s="42">
        <f>IF(AD131="","",AD131-IF(AE131="",0,AE131)-IF(AF131="",0,AF131))</f>
        <v/>
      </c>
      <c r="AH131" s="26">
        <f>IFERROR(AG131/U131,"")</f>
        <v/>
      </c>
      <c r="AI131" s="23" t="n"/>
      <c r="AJ131" s="23" t="n"/>
      <c r="AK131" s="23" t="n"/>
      <c r="AL131" s="23" t="n"/>
    </row>
    <row r="132">
      <c r="A132" s="20">
        <f>IF(B132="","","TR-"&amp;TEXT(ROW()-2,"0000"))</f>
        <v/>
      </c>
      <c r="B132" s="43" t="n"/>
      <c r="C132" s="44" t="n"/>
      <c r="D132" s="44" t="n"/>
      <c r="E132" s="29" t="n"/>
      <c r="F132" s="29" t="n"/>
      <c r="G132" s="29" t="n"/>
      <c r="H132" s="29" t="n"/>
      <c r="I132" s="29" t="n"/>
      <c r="J132" s="29" t="n"/>
      <c r="K132" s="29" t="n"/>
      <c r="L132" s="45" t="n"/>
      <c r="M132" s="45" t="n"/>
      <c r="N132" s="45" t="n"/>
      <c r="O132" s="45" t="n"/>
      <c r="P132" s="45" t="n"/>
      <c r="Q132" s="45" t="n"/>
      <c r="R132" s="29" t="n"/>
      <c r="S132" s="29" t="n"/>
      <c r="T132" s="42">
        <f>IF(OR(L132="",M132=""),"",IFERROR(Settings!$B$3*Settings!$B$5,0))</f>
        <v/>
      </c>
      <c r="U132" s="42">
        <f>IF(OR(L132="",M132="",R132=""),"",ABS(L132-M132)*R132*IF(S132="",1,S132))</f>
        <v/>
      </c>
      <c r="V132" s="26">
        <f>IFERROR(ABS(N132-L132)/ABS(L132-M132),"")</f>
        <v/>
      </c>
      <c r="W132" s="29" t="n"/>
      <c r="X132" s="29" t="n"/>
      <c r="Y132" s="29" t="n"/>
      <c r="Z132" s="29" t="n"/>
      <c r="AA132" s="29" t="n"/>
      <c r="AB132" s="29" t="n"/>
      <c r="AC132" s="29" t="n"/>
      <c r="AD132" s="42">
        <f>IF(OR(L132="",Q132="",R132=""),"",IF(H132="Long",(Q132-L132)*R132*IF(S132="",1,S132),(L132-Q132)*R132*IF(S132="",1,S132)))</f>
        <v/>
      </c>
      <c r="AE132" s="45" t="n"/>
      <c r="AF132" s="45" t="n"/>
      <c r="AG132" s="42">
        <f>IF(AD132="","",AD132-IF(AE132="",0,AE132)-IF(AF132="",0,AF132))</f>
        <v/>
      </c>
      <c r="AH132" s="26">
        <f>IFERROR(AG132/U132,"")</f>
        <v/>
      </c>
      <c r="AI132" s="29" t="n"/>
      <c r="AJ132" s="29" t="n"/>
      <c r="AK132" s="29" t="n"/>
      <c r="AL132" s="29" t="n"/>
    </row>
    <row r="133">
      <c r="A133" s="20">
        <f>IF(B133="","","TR-"&amp;TEXT(ROW()-2,"0000"))</f>
        <v/>
      </c>
      <c r="B133" s="39" t="n"/>
      <c r="C133" s="40" t="n"/>
      <c r="D133" s="40" t="n"/>
      <c r="E133" s="23" t="n"/>
      <c r="F133" s="23" t="n"/>
      <c r="G133" s="23" t="n"/>
      <c r="H133" s="23" t="n"/>
      <c r="I133" s="23" t="n"/>
      <c r="J133" s="23" t="n"/>
      <c r="K133" s="23" t="n"/>
      <c r="L133" s="41" t="n"/>
      <c r="M133" s="41" t="n"/>
      <c r="N133" s="41" t="n"/>
      <c r="O133" s="41" t="n"/>
      <c r="P133" s="41" t="n"/>
      <c r="Q133" s="41" t="n"/>
      <c r="R133" s="23" t="n"/>
      <c r="S133" s="23" t="n"/>
      <c r="T133" s="42">
        <f>IF(OR(L133="",M133=""),"",IFERROR(Settings!$B$3*Settings!$B$5,0))</f>
        <v/>
      </c>
      <c r="U133" s="42">
        <f>IF(OR(L133="",M133="",R133=""),"",ABS(L133-M133)*R133*IF(S133="",1,S133))</f>
        <v/>
      </c>
      <c r="V133" s="26">
        <f>IFERROR(ABS(N133-L133)/ABS(L133-M133),"")</f>
        <v/>
      </c>
      <c r="W133" s="23" t="n"/>
      <c r="X133" s="23" t="n"/>
      <c r="Y133" s="23" t="n"/>
      <c r="Z133" s="23" t="n"/>
      <c r="AA133" s="23" t="n"/>
      <c r="AB133" s="23" t="n"/>
      <c r="AC133" s="23" t="n"/>
      <c r="AD133" s="42">
        <f>IF(OR(L133="",Q133="",R133=""),"",IF(H133="Long",(Q133-L133)*R133*IF(S133="",1,S133),(L133-Q133)*R133*IF(S133="",1,S133)))</f>
        <v/>
      </c>
      <c r="AE133" s="41" t="n"/>
      <c r="AF133" s="41" t="n"/>
      <c r="AG133" s="42">
        <f>IF(AD133="","",AD133-IF(AE133="",0,AE133)-IF(AF133="",0,AF133))</f>
        <v/>
      </c>
      <c r="AH133" s="26">
        <f>IFERROR(AG133/U133,"")</f>
        <v/>
      </c>
      <c r="AI133" s="23" t="n"/>
      <c r="AJ133" s="23" t="n"/>
      <c r="AK133" s="23" t="n"/>
      <c r="AL133" s="23" t="n"/>
    </row>
    <row r="134">
      <c r="A134" s="20">
        <f>IF(B134="","","TR-"&amp;TEXT(ROW()-2,"0000"))</f>
        <v/>
      </c>
      <c r="B134" s="43" t="n"/>
      <c r="C134" s="44" t="n"/>
      <c r="D134" s="44" t="n"/>
      <c r="E134" s="29" t="n"/>
      <c r="F134" s="29" t="n"/>
      <c r="G134" s="29" t="n"/>
      <c r="H134" s="29" t="n"/>
      <c r="I134" s="29" t="n"/>
      <c r="J134" s="29" t="n"/>
      <c r="K134" s="29" t="n"/>
      <c r="L134" s="45" t="n"/>
      <c r="M134" s="45" t="n"/>
      <c r="N134" s="45" t="n"/>
      <c r="O134" s="45" t="n"/>
      <c r="P134" s="45" t="n"/>
      <c r="Q134" s="45" t="n"/>
      <c r="R134" s="29" t="n"/>
      <c r="S134" s="29" t="n"/>
      <c r="T134" s="42">
        <f>IF(OR(L134="",M134=""),"",IFERROR(Settings!$B$3*Settings!$B$5,0))</f>
        <v/>
      </c>
      <c r="U134" s="42">
        <f>IF(OR(L134="",M134="",R134=""),"",ABS(L134-M134)*R134*IF(S134="",1,S134))</f>
        <v/>
      </c>
      <c r="V134" s="26">
        <f>IFERROR(ABS(N134-L134)/ABS(L134-M134),"")</f>
        <v/>
      </c>
      <c r="W134" s="29" t="n"/>
      <c r="X134" s="29" t="n"/>
      <c r="Y134" s="29" t="n"/>
      <c r="Z134" s="29" t="n"/>
      <c r="AA134" s="29" t="n"/>
      <c r="AB134" s="29" t="n"/>
      <c r="AC134" s="29" t="n"/>
      <c r="AD134" s="42">
        <f>IF(OR(L134="",Q134="",R134=""),"",IF(H134="Long",(Q134-L134)*R134*IF(S134="",1,S134),(L134-Q134)*R134*IF(S134="",1,S134)))</f>
        <v/>
      </c>
      <c r="AE134" s="45" t="n"/>
      <c r="AF134" s="45" t="n"/>
      <c r="AG134" s="42">
        <f>IF(AD134="","",AD134-IF(AE134="",0,AE134)-IF(AF134="",0,AF134))</f>
        <v/>
      </c>
      <c r="AH134" s="26">
        <f>IFERROR(AG134/U134,"")</f>
        <v/>
      </c>
      <c r="AI134" s="29" t="n"/>
      <c r="AJ134" s="29" t="n"/>
      <c r="AK134" s="29" t="n"/>
      <c r="AL134" s="29" t="n"/>
    </row>
    <row r="135">
      <c r="A135" s="20">
        <f>IF(B135="","","TR-"&amp;TEXT(ROW()-2,"0000"))</f>
        <v/>
      </c>
      <c r="B135" s="39" t="n"/>
      <c r="C135" s="40" t="n"/>
      <c r="D135" s="40" t="n"/>
      <c r="E135" s="23" t="n"/>
      <c r="F135" s="23" t="n"/>
      <c r="G135" s="23" t="n"/>
      <c r="H135" s="23" t="n"/>
      <c r="I135" s="23" t="n"/>
      <c r="J135" s="23" t="n"/>
      <c r="K135" s="23" t="n"/>
      <c r="L135" s="41" t="n"/>
      <c r="M135" s="41" t="n"/>
      <c r="N135" s="41" t="n"/>
      <c r="O135" s="41" t="n"/>
      <c r="P135" s="41" t="n"/>
      <c r="Q135" s="41" t="n"/>
      <c r="R135" s="23" t="n"/>
      <c r="S135" s="23" t="n"/>
      <c r="T135" s="42">
        <f>IF(OR(L135="",M135=""),"",IFERROR(Settings!$B$3*Settings!$B$5,0))</f>
        <v/>
      </c>
      <c r="U135" s="42">
        <f>IF(OR(L135="",M135="",R135=""),"",ABS(L135-M135)*R135*IF(S135="",1,S135))</f>
        <v/>
      </c>
      <c r="V135" s="26">
        <f>IFERROR(ABS(N135-L135)/ABS(L135-M135),"")</f>
        <v/>
      </c>
      <c r="W135" s="23" t="n"/>
      <c r="X135" s="23" t="n"/>
      <c r="Y135" s="23" t="n"/>
      <c r="Z135" s="23" t="n"/>
      <c r="AA135" s="23" t="n"/>
      <c r="AB135" s="23" t="n"/>
      <c r="AC135" s="23" t="n"/>
      <c r="AD135" s="42">
        <f>IF(OR(L135="",Q135="",R135=""),"",IF(H135="Long",(Q135-L135)*R135*IF(S135="",1,S135),(L135-Q135)*R135*IF(S135="",1,S135)))</f>
        <v/>
      </c>
      <c r="AE135" s="41" t="n"/>
      <c r="AF135" s="41" t="n"/>
      <c r="AG135" s="42">
        <f>IF(AD135="","",AD135-IF(AE135="",0,AE135)-IF(AF135="",0,AF135))</f>
        <v/>
      </c>
      <c r="AH135" s="26">
        <f>IFERROR(AG135/U135,"")</f>
        <v/>
      </c>
      <c r="AI135" s="23" t="n"/>
      <c r="AJ135" s="23" t="n"/>
      <c r="AK135" s="23" t="n"/>
      <c r="AL135" s="23" t="n"/>
    </row>
    <row r="136">
      <c r="A136" s="20">
        <f>IF(B136="","","TR-"&amp;TEXT(ROW()-2,"0000"))</f>
        <v/>
      </c>
      <c r="B136" s="43" t="n"/>
      <c r="C136" s="44" t="n"/>
      <c r="D136" s="44" t="n"/>
      <c r="E136" s="29" t="n"/>
      <c r="F136" s="29" t="n"/>
      <c r="G136" s="29" t="n"/>
      <c r="H136" s="29" t="n"/>
      <c r="I136" s="29" t="n"/>
      <c r="J136" s="29" t="n"/>
      <c r="K136" s="29" t="n"/>
      <c r="L136" s="45" t="n"/>
      <c r="M136" s="45" t="n"/>
      <c r="N136" s="45" t="n"/>
      <c r="O136" s="45" t="n"/>
      <c r="P136" s="45" t="n"/>
      <c r="Q136" s="45" t="n"/>
      <c r="R136" s="29" t="n"/>
      <c r="S136" s="29" t="n"/>
      <c r="T136" s="42">
        <f>IF(OR(L136="",M136=""),"",IFERROR(Settings!$B$3*Settings!$B$5,0))</f>
        <v/>
      </c>
      <c r="U136" s="42">
        <f>IF(OR(L136="",M136="",R136=""),"",ABS(L136-M136)*R136*IF(S136="",1,S136))</f>
        <v/>
      </c>
      <c r="V136" s="26">
        <f>IFERROR(ABS(N136-L136)/ABS(L136-M136),"")</f>
        <v/>
      </c>
      <c r="W136" s="29" t="n"/>
      <c r="X136" s="29" t="n"/>
      <c r="Y136" s="29" t="n"/>
      <c r="Z136" s="29" t="n"/>
      <c r="AA136" s="29" t="n"/>
      <c r="AB136" s="29" t="n"/>
      <c r="AC136" s="29" t="n"/>
      <c r="AD136" s="42">
        <f>IF(OR(L136="",Q136="",R136=""),"",IF(H136="Long",(Q136-L136)*R136*IF(S136="",1,S136),(L136-Q136)*R136*IF(S136="",1,S136)))</f>
        <v/>
      </c>
      <c r="AE136" s="45" t="n"/>
      <c r="AF136" s="45" t="n"/>
      <c r="AG136" s="42">
        <f>IF(AD136="","",AD136-IF(AE136="",0,AE136)-IF(AF136="",0,AF136))</f>
        <v/>
      </c>
      <c r="AH136" s="26">
        <f>IFERROR(AG136/U136,"")</f>
        <v/>
      </c>
      <c r="AI136" s="29" t="n"/>
      <c r="AJ136" s="29" t="n"/>
      <c r="AK136" s="29" t="n"/>
      <c r="AL136" s="29" t="n"/>
    </row>
    <row r="137">
      <c r="A137" s="20">
        <f>IF(B137="","","TR-"&amp;TEXT(ROW()-2,"0000"))</f>
        <v/>
      </c>
      <c r="B137" s="39" t="n"/>
      <c r="C137" s="40" t="n"/>
      <c r="D137" s="40" t="n"/>
      <c r="E137" s="23" t="n"/>
      <c r="F137" s="23" t="n"/>
      <c r="G137" s="23" t="n"/>
      <c r="H137" s="23" t="n"/>
      <c r="I137" s="23" t="n"/>
      <c r="J137" s="23" t="n"/>
      <c r="K137" s="23" t="n"/>
      <c r="L137" s="41" t="n"/>
      <c r="M137" s="41" t="n"/>
      <c r="N137" s="41" t="n"/>
      <c r="O137" s="41" t="n"/>
      <c r="P137" s="41" t="n"/>
      <c r="Q137" s="41" t="n"/>
      <c r="R137" s="23" t="n"/>
      <c r="S137" s="23" t="n"/>
      <c r="T137" s="42">
        <f>IF(OR(L137="",M137=""),"",IFERROR(Settings!$B$3*Settings!$B$5,0))</f>
        <v/>
      </c>
      <c r="U137" s="42">
        <f>IF(OR(L137="",M137="",R137=""),"",ABS(L137-M137)*R137*IF(S137="",1,S137))</f>
        <v/>
      </c>
      <c r="V137" s="26">
        <f>IFERROR(ABS(N137-L137)/ABS(L137-M137),"")</f>
        <v/>
      </c>
      <c r="W137" s="23" t="n"/>
      <c r="X137" s="23" t="n"/>
      <c r="Y137" s="23" t="n"/>
      <c r="Z137" s="23" t="n"/>
      <c r="AA137" s="23" t="n"/>
      <c r="AB137" s="23" t="n"/>
      <c r="AC137" s="23" t="n"/>
      <c r="AD137" s="42">
        <f>IF(OR(L137="",Q137="",R137=""),"",IF(H137="Long",(Q137-L137)*R137*IF(S137="",1,S137),(L137-Q137)*R137*IF(S137="",1,S137)))</f>
        <v/>
      </c>
      <c r="AE137" s="41" t="n"/>
      <c r="AF137" s="41" t="n"/>
      <c r="AG137" s="42">
        <f>IF(AD137="","",AD137-IF(AE137="",0,AE137)-IF(AF137="",0,AF137))</f>
        <v/>
      </c>
      <c r="AH137" s="26">
        <f>IFERROR(AG137/U137,"")</f>
        <v/>
      </c>
      <c r="AI137" s="23" t="n"/>
      <c r="AJ137" s="23" t="n"/>
      <c r="AK137" s="23" t="n"/>
      <c r="AL137" s="23" t="n"/>
    </row>
    <row r="138">
      <c r="A138" s="20">
        <f>IF(B138="","","TR-"&amp;TEXT(ROW()-2,"0000"))</f>
        <v/>
      </c>
      <c r="B138" s="43" t="n"/>
      <c r="C138" s="44" t="n"/>
      <c r="D138" s="44" t="n"/>
      <c r="E138" s="29" t="n"/>
      <c r="F138" s="29" t="n"/>
      <c r="G138" s="29" t="n"/>
      <c r="H138" s="29" t="n"/>
      <c r="I138" s="29" t="n"/>
      <c r="J138" s="29" t="n"/>
      <c r="K138" s="29" t="n"/>
      <c r="L138" s="45" t="n"/>
      <c r="M138" s="45" t="n"/>
      <c r="N138" s="45" t="n"/>
      <c r="O138" s="45" t="n"/>
      <c r="P138" s="45" t="n"/>
      <c r="Q138" s="45" t="n"/>
      <c r="R138" s="29" t="n"/>
      <c r="S138" s="29" t="n"/>
      <c r="T138" s="42">
        <f>IF(OR(L138="",M138=""),"",IFERROR(Settings!$B$3*Settings!$B$5,0))</f>
        <v/>
      </c>
      <c r="U138" s="42">
        <f>IF(OR(L138="",M138="",R138=""),"",ABS(L138-M138)*R138*IF(S138="",1,S138))</f>
        <v/>
      </c>
      <c r="V138" s="26">
        <f>IFERROR(ABS(N138-L138)/ABS(L138-M138),"")</f>
        <v/>
      </c>
      <c r="W138" s="29" t="n"/>
      <c r="X138" s="29" t="n"/>
      <c r="Y138" s="29" t="n"/>
      <c r="Z138" s="29" t="n"/>
      <c r="AA138" s="29" t="n"/>
      <c r="AB138" s="29" t="n"/>
      <c r="AC138" s="29" t="n"/>
      <c r="AD138" s="42">
        <f>IF(OR(L138="",Q138="",R138=""),"",IF(H138="Long",(Q138-L138)*R138*IF(S138="",1,S138),(L138-Q138)*R138*IF(S138="",1,S138)))</f>
        <v/>
      </c>
      <c r="AE138" s="45" t="n"/>
      <c r="AF138" s="45" t="n"/>
      <c r="AG138" s="42">
        <f>IF(AD138="","",AD138-IF(AE138="",0,AE138)-IF(AF138="",0,AF138))</f>
        <v/>
      </c>
      <c r="AH138" s="26">
        <f>IFERROR(AG138/U138,"")</f>
        <v/>
      </c>
      <c r="AI138" s="29" t="n"/>
      <c r="AJ138" s="29" t="n"/>
      <c r="AK138" s="29" t="n"/>
      <c r="AL138" s="29" t="n"/>
    </row>
    <row r="139">
      <c r="A139" s="20">
        <f>IF(B139="","","TR-"&amp;TEXT(ROW()-2,"0000"))</f>
        <v/>
      </c>
      <c r="B139" s="39" t="n"/>
      <c r="C139" s="40" t="n"/>
      <c r="D139" s="40" t="n"/>
      <c r="E139" s="23" t="n"/>
      <c r="F139" s="23" t="n"/>
      <c r="G139" s="23" t="n"/>
      <c r="H139" s="23" t="n"/>
      <c r="I139" s="23" t="n"/>
      <c r="J139" s="23" t="n"/>
      <c r="K139" s="23" t="n"/>
      <c r="L139" s="41" t="n"/>
      <c r="M139" s="41" t="n"/>
      <c r="N139" s="41" t="n"/>
      <c r="O139" s="41" t="n"/>
      <c r="P139" s="41" t="n"/>
      <c r="Q139" s="41" t="n"/>
      <c r="R139" s="23" t="n"/>
      <c r="S139" s="23" t="n"/>
      <c r="T139" s="42">
        <f>IF(OR(L139="",M139=""),"",IFERROR(Settings!$B$3*Settings!$B$5,0))</f>
        <v/>
      </c>
      <c r="U139" s="42">
        <f>IF(OR(L139="",M139="",R139=""),"",ABS(L139-M139)*R139*IF(S139="",1,S139))</f>
        <v/>
      </c>
      <c r="V139" s="26">
        <f>IFERROR(ABS(N139-L139)/ABS(L139-M139),"")</f>
        <v/>
      </c>
      <c r="W139" s="23" t="n"/>
      <c r="X139" s="23" t="n"/>
      <c r="Y139" s="23" t="n"/>
      <c r="Z139" s="23" t="n"/>
      <c r="AA139" s="23" t="n"/>
      <c r="AB139" s="23" t="n"/>
      <c r="AC139" s="23" t="n"/>
      <c r="AD139" s="42">
        <f>IF(OR(L139="",Q139="",R139=""),"",IF(H139="Long",(Q139-L139)*R139*IF(S139="",1,S139),(L139-Q139)*R139*IF(S139="",1,S139)))</f>
        <v/>
      </c>
      <c r="AE139" s="41" t="n"/>
      <c r="AF139" s="41" t="n"/>
      <c r="AG139" s="42">
        <f>IF(AD139="","",AD139-IF(AE139="",0,AE139)-IF(AF139="",0,AF139))</f>
        <v/>
      </c>
      <c r="AH139" s="26">
        <f>IFERROR(AG139/U139,"")</f>
        <v/>
      </c>
      <c r="AI139" s="23" t="n"/>
      <c r="AJ139" s="23" t="n"/>
      <c r="AK139" s="23" t="n"/>
      <c r="AL139" s="23" t="n"/>
    </row>
    <row r="140">
      <c r="A140" s="20">
        <f>IF(B140="","","TR-"&amp;TEXT(ROW()-2,"0000"))</f>
        <v/>
      </c>
      <c r="B140" s="43" t="n"/>
      <c r="C140" s="44" t="n"/>
      <c r="D140" s="44" t="n"/>
      <c r="E140" s="29" t="n"/>
      <c r="F140" s="29" t="n"/>
      <c r="G140" s="29" t="n"/>
      <c r="H140" s="29" t="n"/>
      <c r="I140" s="29" t="n"/>
      <c r="J140" s="29" t="n"/>
      <c r="K140" s="29" t="n"/>
      <c r="L140" s="45" t="n"/>
      <c r="M140" s="45" t="n"/>
      <c r="N140" s="45" t="n"/>
      <c r="O140" s="45" t="n"/>
      <c r="P140" s="45" t="n"/>
      <c r="Q140" s="45" t="n"/>
      <c r="R140" s="29" t="n"/>
      <c r="S140" s="29" t="n"/>
      <c r="T140" s="42">
        <f>IF(OR(L140="",M140=""),"",IFERROR(Settings!$B$3*Settings!$B$5,0))</f>
        <v/>
      </c>
      <c r="U140" s="42">
        <f>IF(OR(L140="",M140="",R140=""),"",ABS(L140-M140)*R140*IF(S140="",1,S140))</f>
        <v/>
      </c>
      <c r="V140" s="26">
        <f>IFERROR(ABS(N140-L140)/ABS(L140-M140),"")</f>
        <v/>
      </c>
      <c r="W140" s="29" t="n"/>
      <c r="X140" s="29" t="n"/>
      <c r="Y140" s="29" t="n"/>
      <c r="Z140" s="29" t="n"/>
      <c r="AA140" s="29" t="n"/>
      <c r="AB140" s="29" t="n"/>
      <c r="AC140" s="29" t="n"/>
      <c r="AD140" s="42">
        <f>IF(OR(L140="",Q140="",R140=""),"",IF(H140="Long",(Q140-L140)*R140*IF(S140="",1,S140),(L140-Q140)*R140*IF(S140="",1,S140)))</f>
        <v/>
      </c>
      <c r="AE140" s="45" t="n"/>
      <c r="AF140" s="45" t="n"/>
      <c r="AG140" s="42">
        <f>IF(AD140="","",AD140-IF(AE140="",0,AE140)-IF(AF140="",0,AF140))</f>
        <v/>
      </c>
      <c r="AH140" s="26">
        <f>IFERROR(AG140/U140,"")</f>
        <v/>
      </c>
      <c r="AI140" s="29" t="n"/>
      <c r="AJ140" s="29" t="n"/>
      <c r="AK140" s="29" t="n"/>
      <c r="AL140" s="29" t="n"/>
    </row>
    <row r="141">
      <c r="A141" s="20">
        <f>IF(B141="","","TR-"&amp;TEXT(ROW()-2,"0000"))</f>
        <v/>
      </c>
      <c r="B141" s="39" t="n"/>
      <c r="C141" s="40" t="n"/>
      <c r="D141" s="40" t="n"/>
      <c r="E141" s="23" t="n"/>
      <c r="F141" s="23" t="n"/>
      <c r="G141" s="23" t="n"/>
      <c r="H141" s="23" t="n"/>
      <c r="I141" s="23" t="n"/>
      <c r="J141" s="23" t="n"/>
      <c r="K141" s="23" t="n"/>
      <c r="L141" s="41" t="n"/>
      <c r="M141" s="41" t="n"/>
      <c r="N141" s="41" t="n"/>
      <c r="O141" s="41" t="n"/>
      <c r="P141" s="41" t="n"/>
      <c r="Q141" s="41" t="n"/>
      <c r="R141" s="23" t="n"/>
      <c r="S141" s="23" t="n"/>
      <c r="T141" s="42">
        <f>IF(OR(L141="",M141=""),"",IFERROR(Settings!$B$3*Settings!$B$5,0))</f>
        <v/>
      </c>
      <c r="U141" s="42">
        <f>IF(OR(L141="",M141="",R141=""),"",ABS(L141-M141)*R141*IF(S141="",1,S141))</f>
        <v/>
      </c>
      <c r="V141" s="26">
        <f>IFERROR(ABS(N141-L141)/ABS(L141-M141),"")</f>
        <v/>
      </c>
      <c r="W141" s="23" t="n"/>
      <c r="X141" s="23" t="n"/>
      <c r="Y141" s="23" t="n"/>
      <c r="Z141" s="23" t="n"/>
      <c r="AA141" s="23" t="n"/>
      <c r="AB141" s="23" t="n"/>
      <c r="AC141" s="23" t="n"/>
      <c r="AD141" s="42">
        <f>IF(OR(L141="",Q141="",R141=""),"",IF(H141="Long",(Q141-L141)*R141*IF(S141="",1,S141),(L141-Q141)*R141*IF(S141="",1,S141)))</f>
        <v/>
      </c>
      <c r="AE141" s="41" t="n"/>
      <c r="AF141" s="41" t="n"/>
      <c r="AG141" s="42">
        <f>IF(AD141="","",AD141-IF(AE141="",0,AE141)-IF(AF141="",0,AF141))</f>
        <v/>
      </c>
      <c r="AH141" s="26">
        <f>IFERROR(AG141/U141,"")</f>
        <v/>
      </c>
      <c r="AI141" s="23" t="n"/>
      <c r="AJ141" s="23" t="n"/>
      <c r="AK141" s="23" t="n"/>
      <c r="AL141" s="23" t="n"/>
    </row>
    <row r="142">
      <c r="A142" s="20">
        <f>IF(B142="","","TR-"&amp;TEXT(ROW()-2,"0000"))</f>
        <v/>
      </c>
      <c r="B142" s="43" t="n"/>
      <c r="C142" s="44" t="n"/>
      <c r="D142" s="44" t="n"/>
      <c r="E142" s="29" t="n"/>
      <c r="F142" s="29" t="n"/>
      <c r="G142" s="29" t="n"/>
      <c r="H142" s="29" t="n"/>
      <c r="I142" s="29" t="n"/>
      <c r="J142" s="29" t="n"/>
      <c r="K142" s="29" t="n"/>
      <c r="L142" s="45" t="n"/>
      <c r="M142" s="45" t="n"/>
      <c r="N142" s="45" t="n"/>
      <c r="O142" s="45" t="n"/>
      <c r="P142" s="45" t="n"/>
      <c r="Q142" s="45" t="n"/>
      <c r="R142" s="29" t="n"/>
      <c r="S142" s="29" t="n"/>
      <c r="T142" s="42">
        <f>IF(OR(L142="",M142=""),"",IFERROR(Settings!$B$3*Settings!$B$5,0))</f>
        <v/>
      </c>
      <c r="U142" s="42">
        <f>IF(OR(L142="",M142="",R142=""),"",ABS(L142-M142)*R142*IF(S142="",1,S142))</f>
        <v/>
      </c>
      <c r="V142" s="26">
        <f>IFERROR(ABS(N142-L142)/ABS(L142-M142),"")</f>
        <v/>
      </c>
      <c r="W142" s="29" t="n"/>
      <c r="X142" s="29" t="n"/>
      <c r="Y142" s="29" t="n"/>
      <c r="Z142" s="29" t="n"/>
      <c r="AA142" s="29" t="n"/>
      <c r="AB142" s="29" t="n"/>
      <c r="AC142" s="29" t="n"/>
      <c r="AD142" s="42">
        <f>IF(OR(L142="",Q142="",R142=""),"",IF(H142="Long",(Q142-L142)*R142*IF(S142="",1,S142),(L142-Q142)*R142*IF(S142="",1,S142)))</f>
        <v/>
      </c>
      <c r="AE142" s="45" t="n"/>
      <c r="AF142" s="45" t="n"/>
      <c r="AG142" s="42">
        <f>IF(AD142="","",AD142-IF(AE142="",0,AE142)-IF(AF142="",0,AF142))</f>
        <v/>
      </c>
      <c r="AH142" s="26">
        <f>IFERROR(AG142/U142,"")</f>
        <v/>
      </c>
      <c r="AI142" s="29" t="n"/>
      <c r="AJ142" s="29" t="n"/>
      <c r="AK142" s="29" t="n"/>
      <c r="AL142" s="29" t="n"/>
    </row>
    <row r="143">
      <c r="A143" s="20">
        <f>IF(B143="","","TR-"&amp;TEXT(ROW()-2,"0000"))</f>
        <v/>
      </c>
      <c r="B143" s="39" t="n"/>
      <c r="C143" s="40" t="n"/>
      <c r="D143" s="40" t="n"/>
      <c r="E143" s="23" t="n"/>
      <c r="F143" s="23" t="n"/>
      <c r="G143" s="23" t="n"/>
      <c r="H143" s="23" t="n"/>
      <c r="I143" s="23" t="n"/>
      <c r="J143" s="23" t="n"/>
      <c r="K143" s="23" t="n"/>
      <c r="L143" s="41" t="n"/>
      <c r="M143" s="41" t="n"/>
      <c r="N143" s="41" t="n"/>
      <c r="O143" s="41" t="n"/>
      <c r="P143" s="41" t="n"/>
      <c r="Q143" s="41" t="n"/>
      <c r="R143" s="23" t="n"/>
      <c r="S143" s="23" t="n"/>
      <c r="T143" s="42">
        <f>IF(OR(L143="",M143=""),"",IFERROR(Settings!$B$3*Settings!$B$5,0))</f>
        <v/>
      </c>
      <c r="U143" s="42">
        <f>IF(OR(L143="",M143="",R143=""),"",ABS(L143-M143)*R143*IF(S143="",1,S143))</f>
        <v/>
      </c>
      <c r="V143" s="26">
        <f>IFERROR(ABS(N143-L143)/ABS(L143-M143),"")</f>
        <v/>
      </c>
      <c r="W143" s="23" t="n"/>
      <c r="X143" s="23" t="n"/>
      <c r="Y143" s="23" t="n"/>
      <c r="Z143" s="23" t="n"/>
      <c r="AA143" s="23" t="n"/>
      <c r="AB143" s="23" t="n"/>
      <c r="AC143" s="23" t="n"/>
      <c r="AD143" s="42">
        <f>IF(OR(L143="",Q143="",R143=""),"",IF(H143="Long",(Q143-L143)*R143*IF(S143="",1,S143),(L143-Q143)*R143*IF(S143="",1,S143)))</f>
        <v/>
      </c>
      <c r="AE143" s="41" t="n"/>
      <c r="AF143" s="41" t="n"/>
      <c r="AG143" s="42">
        <f>IF(AD143="","",AD143-IF(AE143="",0,AE143)-IF(AF143="",0,AF143))</f>
        <v/>
      </c>
      <c r="AH143" s="26">
        <f>IFERROR(AG143/U143,"")</f>
        <v/>
      </c>
      <c r="AI143" s="23" t="n"/>
      <c r="AJ143" s="23" t="n"/>
      <c r="AK143" s="23" t="n"/>
      <c r="AL143" s="23" t="n"/>
    </row>
    <row r="144">
      <c r="A144" s="20">
        <f>IF(B144="","","TR-"&amp;TEXT(ROW()-2,"0000"))</f>
        <v/>
      </c>
      <c r="B144" s="43" t="n"/>
      <c r="C144" s="44" t="n"/>
      <c r="D144" s="44" t="n"/>
      <c r="E144" s="29" t="n"/>
      <c r="F144" s="29" t="n"/>
      <c r="G144" s="29" t="n"/>
      <c r="H144" s="29" t="n"/>
      <c r="I144" s="29" t="n"/>
      <c r="J144" s="29" t="n"/>
      <c r="K144" s="29" t="n"/>
      <c r="L144" s="45" t="n"/>
      <c r="M144" s="45" t="n"/>
      <c r="N144" s="45" t="n"/>
      <c r="O144" s="45" t="n"/>
      <c r="P144" s="45" t="n"/>
      <c r="Q144" s="45" t="n"/>
      <c r="R144" s="29" t="n"/>
      <c r="S144" s="29" t="n"/>
      <c r="T144" s="42">
        <f>IF(OR(L144="",M144=""),"",IFERROR(Settings!$B$3*Settings!$B$5,0))</f>
        <v/>
      </c>
      <c r="U144" s="42">
        <f>IF(OR(L144="",M144="",R144=""),"",ABS(L144-M144)*R144*IF(S144="",1,S144))</f>
        <v/>
      </c>
      <c r="V144" s="26">
        <f>IFERROR(ABS(N144-L144)/ABS(L144-M144),"")</f>
        <v/>
      </c>
      <c r="W144" s="29" t="n"/>
      <c r="X144" s="29" t="n"/>
      <c r="Y144" s="29" t="n"/>
      <c r="Z144" s="29" t="n"/>
      <c r="AA144" s="29" t="n"/>
      <c r="AB144" s="29" t="n"/>
      <c r="AC144" s="29" t="n"/>
      <c r="AD144" s="42">
        <f>IF(OR(L144="",Q144="",R144=""),"",IF(H144="Long",(Q144-L144)*R144*IF(S144="",1,S144),(L144-Q144)*R144*IF(S144="",1,S144)))</f>
        <v/>
      </c>
      <c r="AE144" s="45" t="n"/>
      <c r="AF144" s="45" t="n"/>
      <c r="AG144" s="42">
        <f>IF(AD144="","",AD144-IF(AE144="",0,AE144)-IF(AF144="",0,AF144))</f>
        <v/>
      </c>
      <c r="AH144" s="26">
        <f>IFERROR(AG144/U144,"")</f>
        <v/>
      </c>
      <c r="AI144" s="29" t="n"/>
      <c r="AJ144" s="29" t="n"/>
      <c r="AK144" s="29" t="n"/>
      <c r="AL144" s="29" t="n"/>
    </row>
    <row r="145">
      <c r="A145" s="20">
        <f>IF(B145="","","TR-"&amp;TEXT(ROW()-2,"0000"))</f>
        <v/>
      </c>
      <c r="B145" s="39" t="n"/>
      <c r="C145" s="40" t="n"/>
      <c r="D145" s="40" t="n"/>
      <c r="E145" s="23" t="n"/>
      <c r="F145" s="23" t="n"/>
      <c r="G145" s="23" t="n"/>
      <c r="H145" s="23" t="n"/>
      <c r="I145" s="23" t="n"/>
      <c r="J145" s="23" t="n"/>
      <c r="K145" s="23" t="n"/>
      <c r="L145" s="41" t="n"/>
      <c r="M145" s="41" t="n"/>
      <c r="N145" s="41" t="n"/>
      <c r="O145" s="41" t="n"/>
      <c r="P145" s="41" t="n"/>
      <c r="Q145" s="41" t="n"/>
      <c r="R145" s="23" t="n"/>
      <c r="S145" s="23" t="n"/>
      <c r="T145" s="42">
        <f>IF(OR(L145="",M145=""),"",IFERROR(Settings!$B$3*Settings!$B$5,0))</f>
        <v/>
      </c>
      <c r="U145" s="42">
        <f>IF(OR(L145="",M145="",R145=""),"",ABS(L145-M145)*R145*IF(S145="",1,S145))</f>
        <v/>
      </c>
      <c r="V145" s="26">
        <f>IFERROR(ABS(N145-L145)/ABS(L145-M145),"")</f>
        <v/>
      </c>
      <c r="W145" s="23" t="n"/>
      <c r="X145" s="23" t="n"/>
      <c r="Y145" s="23" t="n"/>
      <c r="Z145" s="23" t="n"/>
      <c r="AA145" s="23" t="n"/>
      <c r="AB145" s="23" t="n"/>
      <c r="AC145" s="23" t="n"/>
      <c r="AD145" s="42">
        <f>IF(OR(L145="",Q145="",R145=""),"",IF(H145="Long",(Q145-L145)*R145*IF(S145="",1,S145),(L145-Q145)*R145*IF(S145="",1,S145)))</f>
        <v/>
      </c>
      <c r="AE145" s="41" t="n"/>
      <c r="AF145" s="41" t="n"/>
      <c r="AG145" s="42">
        <f>IF(AD145="","",AD145-IF(AE145="",0,AE145)-IF(AF145="",0,AF145))</f>
        <v/>
      </c>
      <c r="AH145" s="26">
        <f>IFERROR(AG145/U145,"")</f>
        <v/>
      </c>
      <c r="AI145" s="23" t="n"/>
      <c r="AJ145" s="23" t="n"/>
      <c r="AK145" s="23" t="n"/>
      <c r="AL145" s="23" t="n"/>
    </row>
    <row r="146">
      <c r="A146" s="20">
        <f>IF(B146="","","TR-"&amp;TEXT(ROW()-2,"0000"))</f>
        <v/>
      </c>
      <c r="B146" s="43" t="n"/>
      <c r="C146" s="44" t="n"/>
      <c r="D146" s="44" t="n"/>
      <c r="E146" s="29" t="n"/>
      <c r="F146" s="29" t="n"/>
      <c r="G146" s="29" t="n"/>
      <c r="H146" s="29" t="n"/>
      <c r="I146" s="29" t="n"/>
      <c r="J146" s="29" t="n"/>
      <c r="K146" s="29" t="n"/>
      <c r="L146" s="45" t="n"/>
      <c r="M146" s="45" t="n"/>
      <c r="N146" s="45" t="n"/>
      <c r="O146" s="45" t="n"/>
      <c r="P146" s="45" t="n"/>
      <c r="Q146" s="45" t="n"/>
      <c r="R146" s="29" t="n"/>
      <c r="S146" s="29" t="n"/>
      <c r="T146" s="42">
        <f>IF(OR(L146="",M146=""),"",IFERROR(Settings!$B$3*Settings!$B$5,0))</f>
        <v/>
      </c>
      <c r="U146" s="42">
        <f>IF(OR(L146="",M146="",R146=""),"",ABS(L146-M146)*R146*IF(S146="",1,S146))</f>
        <v/>
      </c>
      <c r="V146" s="26">
        <f>IFERROR(ABS(N146-L146)/ABS(L146-M146),"")</f>
        <v/>
      </c>
      <c r="W146" s="29" t="n"/>
      <c r="X146" s="29" t="n"/>
      <c r="Y146" s="29" t="n"/>
      <c r="Z146" s="29" t="n"/>
      <c r="AA146" s="29" t="n"/>
      <c r="AB146" s="29" t="n"/>
      <c r="AC146" s="29" t="n"/>
      <c r="AD146" s="42">
        <f>IF(OR(L146="",Q146="",R146=""),"",IF(H146="Long",(Q146-L146)*R146*IF(S146="",1,S146),(L146-Q146)*R146*IF(S146="",1,S146)))</f>
        <v/>
      </c>
      <c r="AE146" s="45" t="n"/>
      <c r="AF146" s="45" t="n"/>
      <c r="AG146" s="42">
        <f>IF(AD146="","",AD146-IF(AE146="",0,AE146)-IF(AF146="",0,AF146))</f>
        <v/>
      </c>
      <c r="AH146" s="26">
        <f>IFERROR(AG146/U146,"")</f>
        <v/>
      </c>
      <c r="AI146" s="29" t="n"/>
      <c r="AJ146" s="29" t="n"/>
      <c r="AK146" s="29" t="n"/>
      <c r="AL146" s="29" t="n"/>
    </row>
    <row r="147">
      <c r="A147" s="20">
        <f>IF(B147="","","TR-"&amp;TEXT(ROW()-2,"0000"))</f>
        <v/>
      </c>
      <c r="B147" s="39" t="n"/>
      <c r="C147" s="40" t="n"/>
      <c r="D147" s="40" t="n"/>
      <c r="E147" s="23" t="n"/>
      <c r="F147" s="23" t="n"/>
      <c r="G147" s="23" t="n"/>
      <c r="H147" s="23" t="n"/>
      <c r="I147" s="23" t="n"/>
      <c r="J147" s="23" t="n"/>
      <c r="K147" s="23" t="n"/>
      <c r="L147" s="41" t="n"/>
      <c r="M147" s="41" t="n"/>
      <c r="N147" s="41" t="n"/>
      <c r="O147" s="41" t="n"/>
      <c r="P147" s="41" t="n"/>
      <c r="Q147" s="41" t="n"/>
      <c r="R147" s="23" t="n"/>
      <c r="S147" s="23" t="n"/>
      <c r="T147" s="42">
        <f>IF(OR(L147="",M147=""),"",IFERROR(Settings!$B$3*Settings!$B$5,0))</f>
        <v/>
      </c>
      <c r="U147" s="42">
        <f>IF(OR(L147="",M147="",R147=""),"",ABS(L147-M147)*R147*IF(S147="",1,S147))</f>
        <v/>
      </c>
      <c r="V147" s="26">
        <f>IFERROR(ABS(N147-L147)/ABS(L147-M147),"")</f>
        <v/>
      </c>
      <c r="W147" s="23" t="n"/>
      <c r="X147" s="23" t="n"/>
      <c r="Y147" s="23" t="n"/>
      <c r="Z147" s="23" t="n"/>
      <c r="AA147" s="23" t="n"/>
      <c r="AB147" s="23" t="n"/>
      <c r="AC147" s="23" t="n"/>
      <c r="AD147" s="42">
        <f>IF(OR(L147="",Q147="",R147=""),"",IF(H147="Long",(Q147-L147)*R147*IF(S147="",1,S147),(L147-Q147)*R147*IF(S147="",1,S147)))</f>
        <v/>
      </c>
      <c r="AE147" s="41" t="n"/>
      <c r="AF147" s="41" t="n"/>
      <c r="AG147" s="42">
        <f>IF(AD147="","",AD147-IF(AE147="",0,AE147)-IF(AF147="",0,AF147))</f>
        <v/>
      </c>
      <c r="AH147" s="26">
        <f>IFERROR(AG147/U147,"")</f>
        <v/>
      </c>
      <c r="AI147" s="23" t="n"/>
      <c r="AJ147" s="23" t="n"/>
      <c r="AK147" s="23" t="n"/>
      <c r="AL147" s="23" t="n"/>
    </row>
    <row r="148">
      <c r="A148" s="20">
        <f>IF(B148="","","TR-"&amp;TEXT(ROW()-2,"0000"))</f>
        <v/>
      </c>
      <c r="B148" s="43" t="n"/>
      <c r="C148" s="44" t="n"/>
      <c r="D148" s="44" t="n"/>
      <c r="E148" s="29" t="n"/>
      <c r="F148" s="29" t="n"/>
      <c r="G148" s="29" t="n"/>
      <c r="H148" s="29" t="n"/>
      <c r="I148" s="29" t="n"/>
      <c r="J148" s="29" t="n"/>
      <c r="K148" s="29" t="n"/>
      <c r="L148" s="45" t="n"/>
      <c r="M148" s="45" t="n"/>
      <c r="N148" s="45" t="n"/>
      <c r="O148" s="45" t="n"/>
      <c r="P148" s="45" t="n"/>
      <c r="Q148" s="45" t="n"/>
      <c r="R148" s="29" t="n"/>
      <c r="S148" s="29" t="n"/>
      <c r="T148" s="42">
        <f>IF(OR(L148="",M148=""),"",IFERROR(Settings!$B$3*Settings!$B$5,0))</f>
        <v/>
      </c>
      <c r="U148" s="42">
        <f>IF(OR(L148="",M148="",R148=""),"",ABS(L148-M148)*R148*IF(S148="",1,S148))</f>
        <v/>
      </c>
      <c r="V148" s="26">
        <f>IFERROR(ABS(N148-L148)/ABS(L148-M148),"")</f>
        <v/>
      </c>
      <c r="W148" s="29" t="n"/>
      <c r="X148" s="29" t="n"/>
      <c r="Y148" s="29" t="n"/>
      <c r="Z148" s="29" t="n"/>
      <c r="AA148" s="29" t="n"/>
      <c r="AB148" s="29" t="n"/>
      <c r="AC148" s="29" t="n"/>
      <c r="AD148" s="42">
        <f>IF(OR(L148="",Q148="",R148=""),"",IF(H148="Long",(Q148-L148)*R148*IF(S148="",1,S148),(L148-Q148)*R148*IF(S148="",1,S148)))</f>
        <v/>
      </c>
      <c r="AE148" s="45" t="n"/>
      <c r="AF148" s="45" t="n"/>
      <c r="AG148" s="42">
        <f>IF(AD148="","",AD148-IF(AE148="",0,AE148)-IF(AF148="",0,AF148))</f>
        <v/>
      </c>
      <c r="AH148" s="26">
        <f>IFERROR(AG148/U148,"")</f>
        <v/>
      </c>
      <c r="AI148" s="29" t="n"/>
      <c r="AJ148" s="29" t="n"/>
      <c r="AK148" s="29" t="n"/>
      <c r="AL148" s="29" t="n"/>
    </row>
    <row r="149">
      <c r="A149" s="20">
        <f>IF(B149="","","TR-"&amp;TEXT(ROW()-2,"0000"))</f>
        <v/>
      </c>
      <c r="B149" s="39" t="n"/>
      <c r="C149" s="40" t="n"/>
      <c r="D149" s="40" t="n"/>
      <c r="E149" s="23" t="n"/>
      <c r="F149" s="23" t="n"/>
      <c r="G149" s="23" t="n"/>
      <c r="H149" s="23" t="n"/>
      <c r="I149" s="23" t="n"/>
      <c r="J149" s="23" t="n"/>
      <c r="K149" s="23" t="n"/>
      <c r="L149" s="41" t="n"/>
      <c r="M149" s="41" t="n"/>
      <c r="N149" s="41" t="n"/>
      <c r="O149" s="41" t="n"/>
      <c r="P149" s="41" t="n"/>
      <c r="Q149" s="41" t="n"/>
      <c r="R149" s="23" t="n"/>
      <c r="S149" s="23" t="n"/>
      <c r="T149" s="42">
        <f>IF(OR(L149="",M149=""),"",IFERROR(Settings!$B$3*Settings!$B$5,0))</f>
        <v/>
      </c>
      <c r="U149" s="42">
        <f>IF(OR(L149="",M149="",R149=""),"",ABS(L149-M149)*R149*IF(S149="",1,S149))</f>
        <v/>
      </c>
      <c r="V149" s="26">
        <f>IFERROR(ABS(N149-L149)/ABS(L149-M149),"")</f>
        <v/>
      </c>
      <c r="W149" s="23" t="n"/>
      <c r="X149" s="23" t="n"/>
      <c r="Y149" s="23" t="n"/>
      <c r="Z149" s="23" t="n"/>
      <c r="AA149" s="23" t="n"/>
      <c r="AB149" s="23" t="n"/>
      <c r="AC149" s="23" t="n"/>
      <c r="AD149" s="42">
        <f>IF(OR(L149="",Q149="",R149=""),"",IF(H149="Long",(Q149-L149)*R149*IF(S149="",1,S149),(L149-Q149)*R149*IF(S149="",1,S149)))</f>
        <v/>
      </c>
      <c r="AE149" s="41" t="n"/>
      <c r="AF149" s="41" t="n"/>
      <c r="AG149" s="42">
        <f>IF(AD149="","",AD149-IF(AE149="",0,AE149)-IF(AF149="",0,AF149))</f>
        <v/>
      </c>
      <c r="AH149" s="26">
        <f>IFERROR(AG149/U149,"")</f>
        <v/>
      </c>
      <c r="AI149" s="23" t="n"/>
      <c r="AJ149" s="23" t="n"/>
      <c r="AK149" s="23" t="n"/>
      <c r="AL149" s="23" t="n"/>
    </row>
    <row r="150">
      <c r="A150" s="20">
        <f>IF(B150="","","TR-"&amp;TEXT(ROW()-2,"0000"))</f>
        <v/>
      </c>
      <c r="B150" s="43" t="n"/>
      <c r="C150" s="44" t="n"/>
      <c r="D150" s="44" t="n"/>
      <c r="E150" s="29" t="n"/>
      <c r="F150" s="29" t="n"/>
      <c r="G150" s="29" t="n"/>
      <c r="H150" s="29" t="n"/>
      <c r="I150" s="29" t="n"/>
      <c r="J150" s="29" t="n"/>
      <c r="K150" s="29" t="n"/>
      <c r="L150" s="45" t="n"/>
      <c r="M150" s="45" t="n"/>
      <c r="N150" s="45" t="n"/>
      <c r="O150" s="45" t="n"/>
      <c r="P150" s="45" t="n"/>
      <c r="Q150" s="45" t="n"/>
      <c r="R150" s="29" t="n"/>
      <c r="S150" s="29" t="n"/>
      <c r="T150" s="42">
        <f>IF(OR(L150="",M150=""),"",IFERROR(Settings!$B$3*Settings!$B$5,0))</f>
        <v/>
      </c>
      <c r="U150" s="42">
        <f>IF(OR(L150="",M150="",R150=""),"",ABS(L150-M150)*R150*IF(S150="",1,S150))</f>
        <v/>
      </c>
      <c r="V150" s="26">
        <f>IFERROR(ABS(N150-L150)/ABS(L150-M150),"")</f>
        <v/>
      </c>
      <c r="W150" s="29" t="n"/>
      <c r="X150" s="29" t="n"/>
      <c r="Y150" s="29" t="n"/>
      <c r="Z150" s="29" t="n"/>
      <c r="AA150" s="29" t="n"/>
      <c r="AB150" s="29" t="n"/>
      <c r="AC150" s="29" t="n"/>
      <c r="AD150" s="42">
        <f>IF(OR(L150="",Q150="",R150=""),"",IF(H150="Long",(Q150-L150)*R150*IF(S150="",1,S150),(L150-Q150)*R150*IF(S150="",1,S150)))</f>
        <v/>
      </c>
      <c r="AE150" s="45" t="n"/>
      <c r="AF150" s="45" t="n"/>
      <c r="AG150" s="42">
        <f>IF(AD150="","",AD150-IF(AE150="",0,AE150)-IF(AF150="",0,AF150))</f>
        <v/>
      </c>
      <c r="AH150" s="26">
        <f>IFERROR(AG150/U150,"")</f>
        <v/>
      </c>
      <c r="AI150" s="29" t="n"/>
      <c r="AJ150" s="29" t="n"/>
      <c r="AK150" s="29" t="n"/>
      <c r="AL150" s="29" t="n"/>
    </row>
    <row r="151">
      <c r="A151" s="20">
        <f>IF(B151="","","TR-"&amp;TEXT(ROW()-2,"0000"))</f>
        <v/>
      </c>
      <c r="B151" s="39" t="n"/>
      <c r="C151" s="40" t="n"/>
      <c r="D151" s="40" t="n"/>
      <c r="E151" s="23" t="n"/>
      <c r="F151" s="23" t="n"/>
      <c r="G151" s="23" t="n"/>
      <c r="H151" s="23" t="n"/>
      <c r="I151" s="23" t="n"/>
      <c r="J151" s="23" t="n"/>
      <c r="K151" s="23" t="n"/>
      <c r="L151" s="41" t="n"/>
      <c r="M151" s="41" t="n"/>
      <c r="N151" s="41" t="n"/>
      <c r="O151" s="41" t="n"/>
      <c r="P151" s="41" t="n"/>
      <c r="Q151" s="41" t="n"/>
      <c r="R151" s="23" t="n"/>
      <c r="S151" s="23" t="n"/>
      <c r="T151" s="42">
        <f>IF(OR(L151="",M151=""),"",IFERROR(Settings!$B$3*Settings!$B$5,0))</f>
        <v/>
      </c>
      <c r="U151" s="42">
        <f>IF(OR(L151="",M151="",R151=""),"",ABS(L151-M151)*R151*IF(S151="",1,S151))</f>
        <v/>
      </c>
      <c r="V151" s="26">
        <f>IFERROR(ABS(N151-L151)/ABS(L151-M151),"")</f>
        <v/>
      </c>
      <c r="W151" s="23" t="n"/>
      <c r="X151" s="23" t="n"/>
      <c r="Y151" s="23" t="n"/>
      <c r="Z151" s="23" t="n"/>
      <c r="AA151" s="23" t="n"/>
      <c r="AB151" s="23" t="n"/>
      <c r="AC151" s="23" t="n"/>
      <c r="AD151" s="42">
        <f>IF(OR(L151="",Q151="",R151=""),"",IF(H151="Long",(Q151-L151)*R151*IF(S151="",1,S151),(L151-Q151)*R151*IF(S151="",1,S151)))</f>
        <v/>
      </c>
      <c r="AE151" s="41" t="n"/>
      <c r="AF151" s="41" t="n"/>
      <c r="AG151" s="42">
        <f>IF(AD151="","",AD151-IF(AE151="",0,AE151)-IF(AF151="",0,AF151))</f>
        <v/>
      </c>
      <c r="AH151" s="26">
        <f>IFERROR(AG151/U151,"")</f>
        <v/>
      </c>
      <c r="AI151" s="23" t="n"/>
      <c r="AJ151" s="23" t="n"/>
      <c r="AK151" s="23" t="n"/>
      <c r="AL151" s="23" t="n"/>
    </row>
    <row r="152">
      <c r="A152" s="20">
        <f>IF(B152="","","TR-"&amp;TEXT(ROW()-2,"0000"))</f>
        <v/>
      </c>
      <c r="B152" s="43" t="n"/>
      <c r="C152" s="44" t="n"/>
      <c r="D152" s="44" t="n"/>
      <c r="E152" s="29" t="n"/>
      <c r="F152" s="29" t="n"/>
      <c r="G152" s="29" t="n"/>
      <c r="H152" s="29" t="n"/>
      <c r="I152" s="29" t="n"/>
      <c r="J152" s="29" t="n"/>
      <c r="K152" s="29" t="n"/>
      <c r="L152" s="45" t="n"/>
      <c r="M152" s="45" t="n"/>
      <c r="N152" s="45" t="n"/>
      <c r="O152" s="45" t="n"/>
      <c r="P152" s="45" t="n"/>
      <c r="Q152" s="45" t="n"/>
      <c r="R152" s="29" t="n"/>
      <c r="S152" s="29" t="n"/>
      <c r="T152" s="42">
        <f>IF(OR(L152="",M152=""),"",IFERROR(Settings!$B$3*Settings!$B$5,0))</f>
        <v/>
      </c>
      <c r="U152" s="42">
        <f>IF(OR(L152="",M152="",R152=""),"",ABS(L152-M152)*R152*IF(S152="",1,S152))</f>
        <v/>
      </c>
      <c r="V152" s="26">
        <f>IFERROR(ABS(N152-L152)/ABS(L152-M152),"")</f>
        <v/>
      </c>
      <c r="W152" s="29" t="n"/>
      <c r="X152" s="29" t="n"/>
      <c r="Y152" s="29" t="n"/>
      <c r="Z152" s="29" t="n"/>
      <c r="AA152" s="29" t="n"/>
      <c r="AB152" s="29" t="n"/>
      <c r="AC152" s="29" t="n"/>
      <c r="AD152" s="42">
        <f>IF(OR(L152="",Q152="",R152=""),"",IF(H152="Long",(Q152-L152)*R152*IF(S152="",1,S152),(L152-Q152)*R152*IF(S152="",1,S152)))</f>
        <v/>
      </c>
      <c r="AE152" s="45" t="n"/>
      <c r="AF152" s="45" t="n"/>
      <c r="AG152" s="42">
        <f>IF(AD152="","",AD152-IF(AE152="",0,AE152)-IF(AF152="",0,AF152))</f>
        <v/>
      </c>
      <c r="AH152" s="26">
        <f>IFERROR(AG152/U152,"")</f>
        <v/>
      </c>
      <c r="AI152" s="29" t="n"/>
      <c r="AJ152" s="29" t="n"/>
      <c r="AK152" s="29" t="n"/>
      <c r="AL152" s="29" t="n"/>
    </row>
    <row r="153">
      <c r="A153" s="20">
        <f>IF(B153="","","TR-"&amp;TEXT(ROW()-2,"0000"))</f>
        <v/>
      </c>
      <c r="B153" s="39" t="n"/>
      <c r="C153" s="40" t="n"/>
      <c r="D153" s="40" t="n"/>
      <c r="E153" s="23" t="n"/>
      <c r="F153" s="23" t="n"/>
      <c r="G153" s="23" t="n"/>
      <c r="H153" s="23" t="n"/>
      <c r="I153" s="23" t="n"/>
      <c r="J153" s="23" t="n"/>
      <c r="K153" s="23" t="n"/>
      <c r="L153" s="41" t="n"/>
      <c r="M153" s="41" t="n"/>
      <c r="N153" s="41" t="n"/>
      <c r="O153" s="41" t="n"/>
      <c r="P153" s="41" t="n"/>
      <c r="Q153" s="41" t="n"/>
      <c r="R153" s="23" t="n"/>
      <c r="S153" s="23" t="n"/>
      <c r="T153" s="42">
        <f>IF(OR(L153="",M153=""),"",IFERROR(Settings!$B$3*Settings!$B$5,0))</f>
        <v/>
      </c>
      <c r="U153" s="42">
        <f>IF(OR(L153="",M153="",R153=""),"",ABS(L153-M153)*R153*IF(S153="",1,S153))</f>
        <v/>
      </c>
      <c r="V153" s="26">
        <f>IFERROR(ABS(N153-L153)/ABS(L153-M153),"")</f>
        <v/>
      </c>
      <c r="W153" s="23" t="n"/>
      <c r="X153" s="23" t="n"/>
      <c r="Y153" s="23" t="n"/>
      <c r="Z153" s="23" t="n"/>
      <c r="AA153" s="23" t="n"/>
      <c r="AB153" s="23" t="n"/>
      <c r="AC153" s="23" t="n"/>
      <c r="AD153" s="42">
        <f>IF(OR(L153="",Q153="",R153=""),"",IF(H153="Long",(Q153-L153)*R153*IF(S153="",1,S153),(L153-Q153)*R153*IF(S153="",1,S153)))</f>
        <v/>
      </c>
      <c r="AE153" s="41" t="n"/>
      <c r="AF153" s="41" t="n"/>
      <c r="AG153" s="42">
        <f>IF(AD153="","",AD153-IF(AE153="",0,AE153)-IF(AF153="",0,AF153))</f>
        <v/>
      </c>
      <c r="AH153" s="26">
        <f>IFERROR(AG153/U153,"")</f>
        <v/>
      </c>
      <c r="AI153" s="23" t="n"/>
      <c r="AJ153" s="23" t="n"/>
      <c r="AK153" s="23" t="n"/>
      <c r="AL153" s="23" t="n"/>
    </row>
    <row r="154">
      <c r="A154" s="20">
        <f>IF(B154="","","TR-"&amp;TEXT(ROW()-2,"0000"))</f>
        <v/>
      </c>
      <c r="B154" s="43" t="n"/>
      <c r="C154" s="44" t="n"/>
      <c r="D154" s="44" t="n"/>
      <c r="E154" s="29" t="n"/>
      <c r="F154" s="29" t="n"/>
      <c r="G154" s="29" t="n"/>
      <c r="H154" s="29" t="n"/>
      <c r="I154" s="29" t="n"/>
      <c r="J154" s="29" t="n"/>
      <c r="K154" s="29" t="n"/>
      <c r="L154" s="45" t="n"/>
      <c r="M154" s="45" t="n"/>
      <c r="N154" s="45" t="n"/>
      <c r="O154" s="45" t="n"/>
      <c r="P154" s="45" t="n"/>
      <c r="Q154" s="45" t="n"/>
      <c r="R154" s="29" t="n"/>
      <c r="S154" s="29" t="n"/>
      <c r="T154" s="42">
        <f>IF(OR(L154="",M154=""),"",IFERROR(Settings!$B$3*Settings!$B$5,0))</f>
        <v/>
      </c>
      <c r="U154" s="42">
        <f>IF(OR(L154="",M154="",R154=""),"",ABS(L154-M154)*R154*IF(S154="",1,S154))</f>
        <v/>
      </c>
      <c r="V154" s="26">
        <f>IFERROR(ABS(N154-L154)/ABS(L154-M154),"")</f>
        <v/>
      </c>
      <c r="W154" s="29" t="n"/>
      <c r="X154" s="29" t="n"/>
      <c r="Y154" s="29" t="n"/>
      <c r="Z154" s="29" t="n"/>
      <c r="AA154" s="29" t="n"/>
      <c r="AB154" s="29" t="n"/>
      <c r="AC154" s="29" t="n"/>
      <c r="AD154" s="42">
        <f>IF(OR(L154="",Q154="",R154=""),"",IF(H154="Long",(Q154-L154)*R154*IF(S154="",1,S154),(L154-Q154)*R154*IF(S154="",1,S154)))</f>
        <v/>
      </c>
      <c r="AE154" s="45" t="n"/>
      <c r="AF154" s="45" t="n"/>
      <c r="AG154" s="42">
        <f>IF(AD154="","",AD154-IF(AE154="",0,AE154)-IF(AF154="",0,AF154))</f>
        <v/>
      </c>
      <c r="AH154" s="26">
        <f>IFERROR(AG154/U154,"")</f>
        <v/>
      </c>
      <c r="AI154" s="29" t="n"/>
      <c r="AJ154" s="29" t="n"/>
      <c r="AK154" s="29" t="n"/>
      <c r="AL154" s="29" t="n"/>
    </row>
    <row r="155">
      <c r="A155" s="20">
        <f>IF(B155="","","TR-"&amp;TEXT(ROW()-2,"0000"))</f>
        <v/>
      </c>
      <c r="B155" s="39" t="n"/>
      <c r="C155" s="40" t="n"/>
      <c r="D155" s="40" t="n"/>
      <c r="E155" s="23" t="n"/>
      <c r="F155" s="23" t="n"/>
      <c r="G155" s="23" t="n"/>
      <c r="H155" s="23" t="n"/>
      <c r="I155" s="23" t="n"/>
      <c r="J155" s="23" t="n"/>
      <c r="K155" s="23" t="n"/>
      <c r="L155" s="41" t="n"/>
      <c r="M155" s="41" t="n"/>
      <c r="N155" s="41" t="n"/>
      <c r="O155" s="41" t="n"/>
      <c r="P155" s="41" t="n"/>
      <c r="Q155" s="41" t="n"/>
      <c r="R155" s="23" t="n"/>
      <c r="S155" s="23" t="n"/>
      <c r="T155" s="42">
        <f>IF(OR(L155="",M155=""),"",IFERROR(Settings!$B$3*Settings!$B$5,0))</f>
        <v/>
      </c>
      <c r="U155" s="42">
        <f>IF(OR(L155="",M155="",R155=""),"",ABS(L155-M155)*R155*IF(S155="",1,S155))</f>
        <v/>
      </c>
      <c r="V155" s="26">
        <f>IFERROR(ABS(N155-L155)/ABS(L155-M155),"")</f>
        <v/>
      </c>
      <c r="W155" s="23" t="n"/>
      <c r="X155" s="23" t="n"/>
      <c r="Y155" s="23" t="n"/>
      <c r="Z155" s="23" t="n"/>
      <c r="AA155" s="23" t="n"/>
      <c r="AB155" s="23" t="n"/>
      <c r="AC155" s="23" t="n"/>
      <c r="AD155" s="42">
        <f>IF(OR(L155="",Q155="",R155=""),"",IF(H155="Long",(Q155-L155)*R155*IF(S155="",1,S155),(L155-Q155)*R155*IF(S155="",1,S155)))</f>
        <v/>
      </c>
      <c r="AE155" s="41" t="n"/>
      <c r="AF155" s="41" t="n"/>
      <c r="AG155" s="42">
        <f>IF(AD155="","",AD155-IF(AE155="",0,AE155)-IF(AF155="",0,AF155))</f>
        <v/>
      </c>
      <c r="AH155" s="26">
        <f>IFERROR(AG155/U155,"")</f>
        <v/>
      </c>
      <c r="AI155" s="23" t="n"/>
      <c r="AJ155" s="23" t="n"/>
      <c r="AK155" s="23" t="n"/>
      <c r="AL155" s="23" t="n"/>
    </row>
    <row r="156">
      <c r="A156" s="20">
        <f>IF(B156="","","TR-"&amp;TEXT(ROW()-2,"0000"))</f>
        <v/>
      </c>
      <c r="B156" s="43" t="n"/>
      <c r="C156" s="44" t="n"/>
      <c r="D156" s="44" t="n"/>
      <c r="E156" s="29" t="n"/>
      <c r="F156" s="29" t="n"/>
      <c r="G156" s="29" t="n"/>
      <c r="H156" s="29" t="n"/>
      <c r="I156" s="29" t="n"/>
      <c r="J156" s="29" t="n"/>
      <c r="K156" s="29" t="n"/>
      <c r="L156" s="45" t="n"/>
      <c r="M156" s="45" t="n"/>
      <c r="N156" s="45" t="n"/>
      <c r="O156" s="45" t="n"/>
      <c r="P156" s="45" t="n"/>
      <c r="Q156" s="45" t="n"/>
      <c r="R156" s="29" t="n"/>
      <c r="S156" s="29" t="n"/>
      <c r="T156" s="42">
        <f>IF(OR(L156="",M156=""),"",IFERROR(Settings!$B$3*Settings!$B$5,0))</f>
        <v/>
      </c>
      <c r="U156" s="42">
        <f>IF(OR(L156="",M156="",R156=""),"",ABS(L156-M156)*R156*IF(S156="",1,S156))</f>
        <v/>
      </c>
      <c r="V156" s="26">
        <f>IFERROR(ABS(N156-L156)/ABS(L156-M156),"")</f>
        <v/>
      </c>
      <c r="W156" s="29" t="n"/>
      <c r="X156" s="29" t="n"/>
      <c r="Y156" s="29" t="n"/>
      <c r="Z156" s="29" t="n"/>
      <c r="AA156" s="29" t="n"/>
      <c r="AB156" s="29" t="n"/>
      <c r="AC156" s="29" t="n"/>
      <c r="AD156" s="42">
        <f>IF(OR(L156="",Q156="",R156=""),"",IF(H156="Long",(Q156-L156)*R156*IF(S156="",1,S156),(L156-Q156)*R156*IF(S156="",1,S156)))</f>
        <v/>
      </c>
      <c r="AE156" s="45" t="n"/>
      <c r="AF156" s="45" t="n"/>
      <c r="AG156" s="42">
        <f>IF(AD156="","",AD156-IF(AE156="",0,AE156)-IF(AF156="",0,AF156))</f>
        <v/>
      </c>
      <c r="AH156" s="26">
        <f>IFERROR(AG156/U156,"")</f>
        <v/>
      </c>
      <c r="AI156" s="29" t="n"/>
      <c r="AJ156" s="29" t="n"/>
      <c r="AK156" s="29" t="n"/>
      <c r="AL156" s="29" t="n"/>
    </row>
    <row r="157">
      <c r="A157" s="20">
        <f>IF(B157="","","TR-"&amp;TEXT(ROW()-2,"0000"))</f>
        <v/>
      </c>
      <c r="B157" s="39" t="n"/>
      <c r="C157" s="40" t="n"/>
      <c r="D157" s="40" t="n"/>
      <c r="E157" s="23" t="n"/>
      <c r="F157" s="23" t="n"/>
      <c r="G157" s="23" t="n"/>
      <c r="H157" s="23" t="n"/>
      <c r="I157" s="23" t="n"/>
      <c r="J157" s="23" t="n"/>
      <c r="K157" s="23" t="n"/>
      <c r="L157" s="41" t="n"/>
      <c r="M157" s="41" t="n"/>
      <c r="N157" s="41" t="n"/>
      <c r="O157" s="41" t="n"/>
      <c r="P157" s="41" t="n"/>
      <c r="Q157" s="41" t="n"/>
      <c r="R157" s="23" t="n"/>
      <c r="S157" s="23" t="n"/>
      <c r="T157" s="42">
        <f>IF(OR(L157="",M157=""),"",IFERROR(Settings!$B$3*Settings!$B$5,0))</f>
        <v/>
      </c>
      <c r="U157" s="42">
        <f>IF(OR(L157="",M157="",R157=""),"",ABS(L157-M157)*R157*IF(S157="",1,S157))</f>
        <v/>
      </c>
      <c r="V157" s="26">
        <f>IFERROR(ABS(N157-L157)/ABS(L157-M157),"")</f>
        <v/>
      </c>
      <c r="W157" s="23" t="n"/>
      <c r="X157" s="23" t="n"/>
      <c r="Y157" s="23" t="n"/>
      <c r="Z157" s="23" t="n"/>
      <c r="AA157" s="23" t="n"/>
      <c r="AB157" s="23" t="n"/>
      <c r="AC157" s="23" t="n"/>
      <c r="AD157" s="42">
        <f>IF(OR(L157="",Q157="",R157=""),"",IF(H157="Long",(Q157-L157)*R157*IF(S157="",1,S157),(L157-Q157)*R157*IF(S157="",1,S157)))</f>
        <v/>
      </c>
      <c r="AE157" s="41" t="n"/>
      <c r="AF157" s="41" t="n"/>
      <c r="AG157" s="42">
        <f>IF(AD157="","",AD157-IF(AE157="",0,AE157)-IF(AF157="",0,AF157))</f>
        <v/>
      </c>
      <c r="AH157" s="26">
        <f>IFERROR(AG157/U157,"")</f>
        <v/>
      </c>
      <c r="AI157" s="23" t="n"/>
      <c r="AJ157" s="23" t="n"/>
      <c r="AK157" s="23" t="n"/>
      <c r="AL157" s="23" t="n"/>
    </row>
    <row r="158">
      <c r="A158" s="20">
        <f>IF(B158="","","TR-"&amp;TEXT(ROW()-2,"0000"))</f>
        <v/>
      </c>
      <c r="B158" s="43" t="n"/>
      <c r="C158" s="44" t="n"/>
      <c r="D158" s="44" t="n"/>
      <c r="E158" s="29" t="n"/>
      <c r="F158" s="29" t="n"/>
      <c r="G158" s="29" t="n"/>
      <c r="H158" s="29" t="n"/>
      <c r="I158" s="29" t="n"/>
      <c r="J158" s="29" t="n"/>
      <c r="K158" s="29" t="n"/>
      <c r="L158" s="45" t="n"/>
      <c r="M158" s="45" t="n"/>
      <c r="N158" s="45" t="n"/>
      <c r="O158" s="45" t="n"/>
      <c r="P158" s="45" t="n"/>
      <c r="Q158" s="45" t="n"/>
      <c r="R158" s="29" t="n"/>
      <c r="S158" s="29" t="n"/>
      <c r="T158" s="42">
        <f>IF(OR(L158="",M158=""),"",IFERROR(Settings!$B$3*Settings!$B$5,0))</f>
        <v/>
      </c>
      <c r="U158" s="42">
        <f>IF(OR(L158="",M158="",R158=""),"",ABS(L158-M158)*R158*IF(S158="",1,S158))</f>
        <v/>
      </c>
      <c r="V158" s="26">
        <f>IFERROR(ABS(N158-L158)/ABS(L158-M158),"")</f>
        <v/>
      </c>
      <c r="W158" s="29" t="n"/>
      <c r="X158" s="29" t="n"/>
      <c r="Y158" s="29" t="n"/>
      <c r="Z158" s="29" t="n"/>
      <c r="AA158" s="29" t="n"/>
      <c r="AB158" s="29" t="n"/>
      <c r="AC158" s="29" t="n"/>
      <c r="AD158" s="42">
        <f>IF(OR(L158="",Q158="",R158=""),"",IF(H158="Long",(Q158-L158)*R158*IF(S158="",1,S158),(L158-Q158)*R158*IF(S158="",1,S158)))</f>
        <v/>
      </c>
      <c r="AE158" s="45" t="n"/>
      <c r="AF158" s="45" t="n"/>
      <c r="AG158" s="42">
        <f>IF(AD158="","",AD158-IF(AE158="",0,AE158)-IF(AF158="",0,AF158))</f>
        <v/>
      </c>
      <c r="AH158" s="26">
        <f>IFERROR(AG158/U158,"")</f>
        <v/>
      </c>
      <c r="AI158" s="29" t="n"/>
      <c r="AJ158" s="29" t="n"/>
      <c r="AK158" s="29" t="n"/>
      <c r="AL158" s="29" t="n"/>
    </row>
    <row r="159">
      <c r="A159" s="20">
        <f>IF(B159="","","TR-"&amp;TEXT(ROW()-2,"0000"))</f>
        <v/>
      </c>
      <c r="B159" s="39" t="n"/>
      <c r="C159" s="40" t="n"/>
      <c r="D159" s="40" t="n"/>
      <c r="E159" s="23" t="n"/>
      <c r="F159" s="23" t="n"/>
      <c r="G159" s="23" t="n"/>
      <c r="H159" s="23" t="n"/>
      <c r="I159" s="23" t="n"/>
      <c r="J159" s="23" t="n"/>
      <c r="K159" s="23" t="n"/>
      <c r="L159" s="41" t="n"/>
      <c r="M159" s="41" t="n"/>
      <c r="N159" s="41" t="n"/>
      <c r="O159" s="41" t="n"/>
      <c r="P159" s="41" t="n"/>
      <c r="Q159" s="41" t="n"/>
      <c r="R159" s="23" t="n"/>
      <c r="S159" s="23" t="n"/>
      <c r="T159" s="42">
        <f>IF(OR(L159="",M159=""),"",IFERROR(Settings!$B$3*Settings!$B$5,0))</f>
        <v/>
      </c>
      <c r="U159" s="42">
        <f>IF(OR(L159="",M159="",R159=""),"",ABS(L159-M159)*R159*IF(S159="",1,S159))</f>
        <v/>
      </c>
      <c r="V159" s="26">
        <f>IFERROR(ABS(N159-L159)/ABS(L159-M159),"")</f>
        <v/>
      </c>
      <c r="W159" s="23" t="n"/>
      <c r="X159" s="23" t="n"/>
      <c r="Y159" s="23" t="n"/>
      <c r="Z159" s="23" t="n"/>
      <c r="AA159" s="23" t="n"/>
      <c r="AB159" s="23" t="n"/>
      <c r="AC159" s="23" t="n"/>
      <c r="AD159" s="42">
        <f>IF(OR(L159="",Q159="",R159=""),"",IF(H159="Long",(Q159-L159)*R159*IF(S159="",1,S159),(L159-Q159)*R159*IF(S159="",1,S159)))</f>
        <v/>
      </c>
      <c r="AE159" s="41" t="n"/>
      <c r="AF159" s="41" t="n"/>
      <c r="AG159" s="42">
        <f>IF(AD159="","",AD159-IF(AE159="",0,AE159)-IF(AF159="",0,AF159))</f>
        <v/>
      </c>
      <c r="AH159" s="26">
        <f>IFERROR(AG159/U159,"")</f>
        <v/>
      </c>
      <c r="AI159" s="23" t="n"/>
      <c r="AJ159" s="23" t="n"/>
      <c r="AK159" s="23" t="n"/>
      <c r="AL159" s="23" t="n"/>
    </row>
    <row r="160">
      <c r="A160" s="20">
        <f>IF(B160="","","TR-"&amp;TEXT(ROW()-2,"0000"))</f>
        <v/>
      </c>
      <c r="B160" s="43" t="n"/>
      <c r="C160" s="44" t="n"/>
      <c r="D160" s="44" t="n"/>
      <c r="E160" s="29" t="n"/>
      <c r="F160" s="29" t="n"/>
      <c r="G160" s="29" t="n"/>
      <c r="H160" s="29" t="n"/>
      <c r="I160" s="29" t="n"/>
      <c r="J160" s="29" t="n"/>
      <c r="K160" s="29" t="n"/>
      <c r="L160" s="45" t="n"/>
      <c r="M160" s="45" t="n"/>
      <c r="N160" s="45" t="n"/>
      <c r="O160" s="45" t="n"/>
      <c r="P160" s="45" t="n"/>
      <c r="Q160" s="45" t="n"/>
      <c r="R160" s="29" t="n"/>
      <c r="S160" s="29" t="n"/>
      <c r="T160" s="42">
        <f>IF(OR(L160="",M160=""),"",IFERROR(Settings!$B$3*Settings!$B$5,0))</f>
        <v/>
      </c>
      <c r="U160" s="42">
        <f>IF(OR(L160="",M160="",R160=""),"",ABS(L160-M160)*R160*IF(S160="",1,S160))</f>
        <v/>
      </c>
      <c r="V160" s="26">
        <f>IFERROR(ABS(N160-L160)/ABS(L160-M160),"")</f>
        <v/>
      </c>
      <c r="W160" s="29" t="n"/>
      <c r="X160" s="29" t="n"/>
      <c r="Y160" s="29" t="n"/>
      <c r="Z160" s="29" t="n"/>
      <c r="AA160" s="29" t="n"/>
      <c r="AB160" s="29" t="n"/>
      <c r="AC160" s="29" t="n"/>
      <c r="AD160" s="42">
        <f>IF(OR(L160="",Q160="",R160=""),"",IF(H160="Long",(Q160-L160)*R160*IF(S160="",1,S160),(L160-Q160)*R160*IF(S160="",1,S160)))</f>
        <v/>
      </c>
      <c r="AE160" s="45" t="n"/>
      <c r="AF160" s="45" t="n"/>
      <c r="AG160" s="42">
        <f>IF(AD160="","",AD160-IF(AE160="",0,AE160)-IF(AF160="",0,AF160))</f>
        <v/>
      </c>
      <c r="AH160" s="26">
        <f>IFERROR(AG160/U160,"")</f>
        <v/>
      </c>
      <c r="AI160" s="29" t="n"/>
      <c r="AJ160" s="29" t="n"/>
      <c r="AK160" s="29" t="n"/>
      <c r="AL160" s="29" t="n"/>
    </row>
    <row r="161">
      <c r="A161" s="20">
        <f>IF(B161="","","TR-"&amp;TEXT(ROW()-2,"0000"))</f>
        <v/>
      </c>
      <c r="B161" s="39" t="n"/>
      <c r="C161" s="40" t="n"/>
      <c r="D161" s="40" t="n"/>
      <c r="E161" s="23" t="n"/>
      <c r="F161" s="23" t="n"/>
      <c r="G161" s="23" t="n"/>
      <c r="H161" s="23" t="n"/>
      <c r="I161" s="23" t="n"/>
      <c r="J161" s="23" t="n"/>
      <c r="K161" s="23" t="n"/>
      <c r="L161" s="41" t="n"/>
      <c r="M161" s="41" t="n"/>
      <c r="N161" s="41" t="n"/>
      <c r="O161" s="41" t="n"/>
      <c r="P161" s="41" t="n"/>
      <c r="Q161" s="41" t="n"/>
      <c r="R161" s="23" t="n"/>
      <c r="S161" s="23" t="n"/>
      <c r="T161" s="42">
        <f>IF(OR(L161="",M161=""),"",IFERROR(Settings!$B$3*Settings!$B$5,0))</f>
        <v/>
      </c>
      <c r="U161" s="42">
        <f>IF(OR(L161="",M161="",R161=""),"",ABS(L161-M161)*R161*IF(S161="",1,S161))</f>
        <v/>
      </c>
      <c r="V161" s="26">
        <f>IFERROR(ABS(N161-L161)/ABS(L161-M161),"")</f>
        <v/>
      </c>
      <c r="W161" s="23" t="n"/>
      <c r="X161" s="23" t="n"/>
      <c r="Y161" s="23" t="n"/>
      <c r="Z161" s="23" t="n"/>
      <c r="AA161" s="23" t="n"/>
      <c r="AB161" s="23" t="n"/>
      <c r="AC161" s="23" t="n"/>
      <c r="AD161" s="42">
        <f>IF(OR(L161="",Q161="",R161=""),"",IF(H161="Long",(Q161-L161)*R161*IF(S161="",1,S161),(L161-Q161)*R161*IF(S161="",1,S161)))</f>
        <v/>
      </c>
      <c r="AE161" s="41" t="n"/>
      <c r="AF161" s="41" t="n"/>
      <c r="AG161" s="42">
        <f>IF(AD161="","",AD161-IF(AE161="",0,AE161)-IF(AF161="",0,AF161))</f>
        <v/>
      </c>
      <c r="AH161" s="26">
        <f>IFERROR(AG161/U161,"")</f>
        <v/>
      </c>
      <c r="AI161" s="23" t="n"/>
      <c r="AJ161" s="23" t="n"/>
      <c r="AK161" s="23" t="n"/>
      <c r="AL161" s="23" t="n"/>
    </row>
    <row r="162">
      <c r="A162" s="20">
        <f>IF(B162="","","TR-"&amp;TEXT(ROW()-2,"0000"))</f>
        <v/>
      </c>
      <c r="B162" s="43" t="n"/>
      <c r="C162" s="44" t="n"/>
      <c r="D162" s="44" t="n"/>
      <c r="E162" s="29" t="n"/>
      <c r="F162" s="29" t="n"/>
      <c r="G162" s="29" t="n"/>
      <c r="H162" s="29" t="n"/>
      <c r="I162" s="29" t="n"/>
      <c r="J162" s="29" t="n"/>
      <c r="K162" s="29" t="n"/>
      <c r="L162" s="45" t="n"/>
      <c r="M162" s="45" t="n"/>
      <c r="N162" s="45" t="n"/>
      <c r="O162" s="45" t="n"/>
      <c r="P162" s="45" t="n"/>
      <c r="Q162" s="45" t="n"/>
      <c r="R162" s="29" t="n"/>
      <c r="S162" s="29" t="n"/>
      <c r="T162" s="42">
        <f>IF(OR(L162="",M162=""),"",IFERROR(Settings!$B$3*Settings!$B$5,0))</f>
        <v/>
      </c>
      <c r="U162" s="42">
        <f>IF(OR(L162="",M162="",R162=""),"",ABS(L162-M162)*R162*IF(S162="",1,S162))</f>
        <v/>
      </c>
      <c r="V162" s="26">
        <f>IFERROR(ABS(N162-L162)/ABS(L162-M162),"")</f>
        <v/>
      </c>
      <c r="W162" s="29" t="n"/>
      <c r="X162" s="29" t="n"/>
      <c r="Y162" s="29" t="n"/>
      <c r="Z162" s="29" t="n"/>
      <c r="AA162" s="29" t="n"/>
      <c r="AB162" s="29" t="n"/>
      <c r="AC162" s="29" t="n"/>
      <c r="AD162" s="42">
        <f>IF(OR(L162="",Q162="",R162=""),"",IF(H162="Long",(Q162-L162)*R162*IF(S162="",1,S162),(L162-Q162)*R162*IF(S162="",1,S162)))</f>
        <v/>
      </c>
      <c r="AE162" s="45" t="n"/>
      <c r="AF162" s="45" t="n"/>
      <c r="AG162" s="42">
        <f>IF(AD162="","",AD162-IF(AE162="",0,AE162)-IF(AF162="",0,AF162))</f>
        <v/>
      </c>
      <c r="AH162" s="26">
        <f>IFERROR(AG162/U162,"")</f>
        <v/>
      </c>
      <c r="AI162" s="29" t="n"/>
      <c r="AJ162" s="29" t="n"/>
      <c r="AK162" s="29" t="n"/>
      <c r="AL162" s="29" t="n"/>
    </row>
    <row r="163">
      <c r="A163" s="20">
        <f>IF(B163="","","TR-"&amp;TEXT(ROW()-2,"0000"))</f>
        <v/>
      </c>
      <c r="B163" s="39" t="n"/>
      <c r="C163" s="40" t="n"/>
      <c r="D163" s="40" t="n"/>
      <c r="E163" s="23" t="n"/>
      <c r="F163" s="23" t="n"/>
      <c r="G163" s="23" t="n"/>
      <c r="H163" s="23" t="n"/>
      <c r="I163" s="23" t="n"/>
      <c r="J163" s="23" t="n"/>
      <c r="K163" s="23" t="n"/>
      <c r="L163" s="41" t="n"/>
      <c r="M163" s="41" t="n"/>
      <c r="N163" s="41" t="n"/>
      <c r="O163" s="41" t="n"/>
      <c r="P163" s="41" t="n"/>
      <c r="Q163" s="41" t="n"/>
      <c r="R163" s="23" t="n"/>
      <c r="S163" s="23" t="n"/>
      <c r="T163" s="42">
        <f>IF(OR(L163="",M163=""),"",IFERROR(Settings!$B$3*Settings!$B$5,0))</f>
        <v/>
      </c>
      <c r="U163" s="42">
        <f>IF(OR(L163="",M163="",R163=""),"",ABS(L163-M163)*R163*IF(S163="",1,S163))</f>
        <v/>
      </c>
      <c r="V163" s="26">
        <f>IFERROR(ABS(N163-L163)/ABS(L163-M163),"")</f>
        <v/>
      </c>
      <c r="W163" s="23" t="n"/>
      <c r="X163" s="23" t="n"/>
      <c r="Y163" s="23" t="n"/>
      <c r="Z163" s="23" t="n"/>
      <c r="AA163" s="23" t="n"/>
      <c r="AB163" s="23" t="n"/>
      <c r="AC163" s="23" t="n"/>
      <c r="AD163" s="42">
        <f>IF(OR(L163="",Q163="",R163=""),"",IF(H163="Long",(Q163-L163)*R163*IF(S163="",1,S163),(L163-Q163)*R163*IF(S163="",1,S163)))</f>
        <v/>
      </c>
      <c r="AE163" s="41" t="n"/>
      <c r="AF163" s="41" t="n"/>
      <c r="AG163" s="42">
        <f>IF(AD163="","",AD163-IF(AE163="",0,AE163)-IF(AF163="",0,AF163))</f>
        <v/>
      </c>
      <c r="AH163" s="26">
        <f>IFERROR(AG163/U163,"")</f>
        <v/>
      </c>
      <c r="AI163" s="23" t="n"/>
      <c r="AJ163" s="23" t="n"/>
      <c r="AK163" s="23" t="n"/>
      <c r="AL163" s="23" t="n"/>
    </row>
    <row r="164">
      <c r="A164" s="20">
        <f>IF(B164="","","TR-"&amp;TEXT(ROW()-2,"0000"))</f>
        <v/>
      </c>
      <c r="B164" s="43" t="n"/>
      <c r="C164" s="44" t="n"/>
      <c r="D164" s="44" t="n"/>
      <c r="E164" s="29" t="n"/>
      <c r="F164" s="29" t="n"/>
      <c r="G164" s="29" t="n"/>
      <c r="H164" s="29" t="n"/>
      <c r="I164" s="29" t="n"/>
      <c r="J164" s="29" t="n"/>
      <c r="K164" s="29" t="n"/>
      <c r="L164" s="45" t="n"/>
      <c r="M164" s="45" t="n"/>
      <c r="N164" s="45" t="n"/>
      <c r="O164" s="45" t="n"/>
      <c r="P164" s="45" t="n"/>
      <c r="Q164" s="45" t="n"/>
      <c r="R164" s="29" t="n"/>
      <c r="S164" s="29" t="n"/>
      <c r="T164" s="42">
        <f>IF(OR(L164="",M164=""),"",IFERROR(Settings!$B$3*Settings!$B$5,0))</f>
        <v/>
      </c>
      <c r="U164" s="42">
        <f>IF(OR(L164="",M164="",R164=""),"",ABS(L164-M164)*R164*IF(S164="",1,S164))</f>
        <v/>
      </c>
      <c r="V164" s="26">
        <f>IFERROR(ABS(N164-L164)/ABS(L164-M164),"")</f>
        <v/>
      </c>
      <c r="W164" s="29" t="n"/>
      <c r="X164" s="29" t="n"/>
      <c r="Y164" s="29" t="n"/>
      <c r="Z164" s="29" t="n"/>
      <c r="AA164" s="29" t="n"/>
      <c r="AB164" s="29" t="n"/>
      <c r="AC164" s="29" t="n"/>
      <c r="AD164" s="42">
        <f>IF(OR(L164="",Q164="",R164=""),"",IF(H164="Long",(Q164-L164)*R164*IF(S164="",1,S164),(L164-Q164)*R164*IF(S164="",1,S164)))</f>
        <v/>
      </c>
      <c r="AE164" s="45" t="n"/>
      <c r="AF164" s="45" t="n"/>
      <c r="AG164" s="42">
        <f>IF(AD164="","",AD164-IF(AE164="",0,AE164)-IF(AF164="",0,AF164))</f>
        <v/>
      </c>
      <c r="AH164" s="26">
        <f>IFERROR(AG164/U164,"")</f>
        <v/>
      </c>
      <c r="AI164" s="29" t="n"/>
      <c r="AJ164" s="29" t="n"/>
      <c r="AK164" s="29" t="n"/>
      <c r="AL164" s="29" t="n"/>
    </row>
    <row r="165">
      <c r="A165" s="20">
        <f>IF(B165="","","TR-"&amp;TEXT(ROW()-2,"0000"))</f>
        <v/>
      </c>
      <c r="B165" s="39" t="n"/>
      <c r="C165" s="40" t="n"/>
      <c r="D165" s="40" t="n"/>
      <c r="E165" s="23" t="n"/>
      <c r="F165" s="23" t="n"/>
      <c r="G165" s="23" t="n"/>
      <c r="H165" s="23" t="n"/>
      <c r="I165" s="23" t="n"/>
      <c r="J165" s="23" t="n"/>
      <c r="K165" s="23" t="n"/>
      <c r="L165" s="41" t="n"/>
      <c r="M165" s="41" t="n"/>
      <c r="N165" s="41" t="n"/>
      <c r="O165" s="41" t="n"/>
      <c r="P165" s="41" t="n"/>
      <c r="Q165" s="41" t="n"/>
      <c r="R165" s="23" t="n"/>
      <c r="S165" s="23" t="n"/>
      <c r="T165" s="42">
        <f>IF(OR(L165="",M165=""),"",IFERROR(Settings!$B$3*Settings!$B$5,0))</f>
        <v/>
      </c>
      <c r="U165" s="42">
        <f>IF(OR(L165="",M165="",R165=""),"",ABS(L165-M165)*R165*IF(S165="",1,S165))</f>
        <v/>
      </c>
      <c r="V165" s="26">
        <f>IFERROR(ABS(N165-L165)/ABS(L165-M165),"")</f>
        <v/>
      </c>
      <c r="W165" s="23" t="n"/>
      <c r="X165" s="23" t="n"/>
      <c r="Y165" s="23" t="n"/>
      <c r="Z165" s="23" t="n"/>
      <c r="AA165" s="23" t="n"/>
      <c r="AB165" s="23" t="n"/>
      <c r="AC165" s="23" t="n"/>
      <c r="AD165" s="42">
        <f>IF(OR(L165="",Q165="",R165=""),"",IF(H165="Long",(Q165-L165)*R165*IF(S165="",1,S165),(L165-Q165)*R165*IF(S165="",1,S165)))</f>
        <v/>
      </c>
      <c r="AE165" s="41" t="n"/>
      <c r="AF165" s="41" t="n"/>
      <c r="AG165" s="42">
        <f>IF(AD165="","",AD165-IF(AE165="",0,AE165)-IF(AF165="",0,AF165))</f>
        <v/>
      </c>
      <c r="AH165" s="26">
        <f>IFERROR(AG165/U165,"")</f>
        <v/>
      </c>
      <c r="AI165" s="23" t="n"/>
      <c r="AJ165" s="23" t="n"/>
      <c r="AK165" s="23" t="n"/>
      <c r="AL165" s="23" t="n"/>
    </row>
    <row r="166">
      <c r="A166" s="20">
        <f>IF(B166="","","TR-"&amp;TEXT(ROW()-2,"0000"))</f>
        <v/>
      </c>
      <c r="B166" s="43" t="n"/>
      <c r="C166" s="44" t="n"/>
      <c r="D166" s="44" t="n"/>
      <c r="E166" s="29" t="n"/>
      <c r="F166" s="29" t="n"/>
      <c r="G166" s="29" t="n"/>
      <c r="H166" s="29" t="n"/>
      <c r="I166" s="29" t="n"/>
      <c r="J166" s="29" t="n"/>
      <c r="K166" s="29" t="n"/>
      <c r="L166" s="45" t="n"/>
      <c r="M166" s="45" t="n"/>
      <c r="N166" s="45" t="n"/>
      <c r="O166" s="45" t="n"/>
      <c r="P166" s="45" t="n"/>
      <c r="Q166" s="45" t="n"/>
      <c r="R166" s="29" t="n"/>
      <c r="S166" s="29" t="n"/>
      <c r="T166" s="42">
        <f>IF(OR(L166="",M166=""),"",IFERROR(Settings!$B$3*Settings!$B$5,0))</f>
        <v/>
      </c>
      <c r="U166" s="42">
        <f>IF(OR(L166="",M166="",R166=""),"",ABS(L166-M166)*R166*IF(S166="",1,S166))</f>
        <v/>
      </c>
      <c r="V166" s="26">
        <f>IFERROR(ABS(N166-L166)/ABS(L166-M166),"")</f>
        <v/>
      </c>
      <c r="W166" s="29" t="n"/>
      <c r="X166" s="29" t="n"/>
      <c r="Y166" s="29" t="n"/>
      <c r="Z166" s="29" t="n"/>
      <c r="AA166" s="29" t="n"/>
      <c r="AB166" s="29" t="n"/>
      <c r="AC166" s="29" t="n"/>
      <c r="AD166" s="42">
        <f>IF(OR(L166="",Q166="",R166=""),"",IF(H166="Long",(Q166-L166)*R166*IF(S166="",1,S166),(L166-Q166)*R166*IF(S166="",1,S166)))</f>
        <v/>
      </c>
      <c r="AE166" s="45" t="n"/>
      <c r="AF166" s="45" t="n"/>
      <c r="AG166" s="42">
        <f>IF(AD166="","",AD166-IF(AE166="",0,AE166)-IF(AF166="",0,AF166))</f>
        <v/>
      </c>
      <c r="AH166" s="26">
        <f>IFERROR(AG166/U166,"")</f>
        <v/>
      </c>
      <c r="AI166" s="29" t="n"/>
      <c r="AJ166" s="29" t="n"/>
      <c r="AK166" s="29" t="n"/>
      <c r="AL166" s="29" t="n"/>
    </row>
    <row r="167">
      <c r="A167" s="20">
        <f>IF(B167="","","TR-"&amp;TEXT(ROW()-2,"0000"))</f>
        <v/>
      </c>
      <c r="B167" s="39" t="n"/>
      <c r="C167" s="40" t="n"/>
      <c r="D167" s="40" t="n"/>
      <c r="E167" s="23" t="n"/>
      <c r="F167" s="23" t="n"/>
      <c r="G167" s="23" t="n"/>
      <c r="H167" s="23" t="n"/>
      <c r="I167" s="23" t="n"/>
      <c r="J167" s="23" t="n"/>
      <c r="K167" s="23" t="n"/>
      <c r="L167" s="41" t="n"/>
      <c r="M167" s="41" t="n"/>
      <c r="N167" s="41" t="n"/>
      <c r="O167" s="41" t="n"/>
      <c r="P167" s="41" t="n"/>
      <c r="Q167" s="41" t="n"/>
      <c r="R167" s="23" t="n"/>
      <c r="S167" s="23" t="n"/>
      <c r="T167" s="42">
        <f>IF(OR(L167="",M167=""),"",IFERROR(Settings!$B$3*Settings!$B$5,0))</f>
        <v/>
      </c>
      <c r="U167" s="42">
        <f>IF(OR(L167="",M167="",R167=""),"",ABS(L167-M167)*R167*IF(S167="",1,S167))</f>
        <v/>
      </c>
      <c r="V167" s="26">
        <f>IFERROR(ABS(N167-L167)/ABS(L167-M167),"")</f>
        <v/>
      </c>
      <c r="W167" s="23" t="n"/>
      <c r="X167" s="23" t="n"/>
      <c r="Y167" s="23" t="n"/>
      <c r="Z167" s="23" t="n"/>
      <c r="AA167" s="23" t="n"/>
      <c r="AB167" s="23" t="n"/>
      <c r="AC167" s="23" t="n"/>
      <c r="AD167" s="42">
        <f>IF(OR(L167="",Q167="",R167=""),"",IF(H167="Long",(Q167-L167)*R167*IF(S167="",1,S167),(L167-Q167)*R167*IF(S167="",1,S167)))</f>
        <v/>
      </c>
      <c r="AE167" s="41" t="n"/>
      <c r="AF167" s="41" t="n"/>
      <c r="AG167" s="42">
        <f>IF(AD167="","",AD167-IF(AE167="",0,AE167)-IF(AF167="",0,AF167))</f>
        <v/>
      </c>
      <c r="AH167" s="26">
        <f>IFERROR(AG167/U167,"")</f>
        <v/>
      </c>
      <c r="AI167" s="23" t="n"/>
      <c r="AJ167" s="23" t="n"/>
      <c r="AK167" s="23" t="n"/>
      <c r="AL167" s="23" t="n"/>
    </row>
    <row r="168">
      <c r="A168" s="20">
        <f>IF(B168="","","TR-"&amp;TEXT(ROW()-2,"0000"))</f>
        <v/>
      </c>
      <c r="B168" s="43" t="n"/>
      <c r="C168" s="44" t="n"/>
      <c r="D168" s="44" t="n"/>
      <c r="E168" s="29" t="n"/>
      <c r="F168" s="29" t="n"/>
      <c r="G168" s="29" t="n"/>
      <c r="H168" s="29" t="n"/>
      <c r="I168" s="29" t="n"/>
      <c r="J168" s="29" t="n"/>
      <c r="K168" s="29" t="n"/>
      <c r="L168" s="45" t="n"/>
      <c r="M168" s="45" t="n"/>
      <c r="N168" s="45" t="n"/>
      <c r="O168" s="45" t="n"/>
      <c r="P168" s="45" t="n"/>
      <c r="Q168" s="45" t="n"/>
      <c r="R168" s="29" t="n"/>
      <c r="S168" s="29" t="n"/>
      <c r="T168" s="42">
        <f>IF(OR(L168="",M168=""),"",IFERROR(Settings!$B$3*Settings!$B$5,0))</f>
        <v/>
      </c>
      <c r="U168" s="42">
        <f>IF(OR(L168="",M168="",R168=""),"",ABS(L168-M168)*R168*IF(S168="",1,S168))</f>
        <v/>
      </c>
      <c r="V168" s="26">
        <f>IFERROR(ABS(N168-L168)/ABS(L168-M168),"")</f>
        <v/>
      </c>
      <c r="W168" s="29" t="n"/>
      <c r="X168" s="29" t="n"/>
      <c r="Y168" s="29" t="n"/>
      <c r="Z168" s="29" t="n"/>
      <c r="AA168" s="29" t="n"/>
      <c r="AB168" s="29" t="n"/>
      <c r="AC168" s="29" t="n"/>
      <c r="AD168" s="42">
        <f>IF(OR(L168="",Q168="",R168=""),"",IF(H168="Long",(Q168-L168)*R168*IF(S168="",1,S168),(L168-Q168)*R168*IF(S168="",1,S168)))</f>
        <v/>
      </c>
      <c r="AE168" s="45" t="n"/>
      <c r="AF168" s="45" t="n"/>
      <c r="AG168" s="42">
        <f>IF(AD168="","",AD168-IF(AE168="",0,AE168)-IF(AF168="",0,AF168))</f>
        <v/>
      </c>
      <c r="AH168" s="26">
        <f>IFERROR(AG168/U168,"")</f>
        <v/>
      </c>
      <c r="AI168" s="29" t="n"/>
      <c r="AJ168" s="29" t="n"/>
      <c r="AK168" s="29" t="n"/>
      <c r="AL168" s="29" t="n"/>
    </row>
    <row r="169">
      <c r="A169" s="20">
        <f>IF(B169="","","TR-"&amp;TEXT(ROW()-2,"0000"))</f>
        <v/>
      </c>
      <c r="B169" s="39" t="n"/>
      <c r="C169" s="40" t="n"/>
      <c r="D169" s="40" t="n"/>
      <c r="E169" s="23" t="n"/>
      <c r="F169" s="23" t="n"/>
      <c r="G169" s="23" t="n"/>
      <c r="H169" s="23" t="n"/>
      <c r="I169" s="23" t="n"/>
      <c r="J169" s="23" t="n"/>
      <c r="K169" s="23" t="n"/>
      <c r="L169" s="41" t="n"/>
      <c r="M169" s="41" t="n"/>
      <c r="N169" s="41" t="n"/>
      <c r="O169" s="41" t="n"/>
      <c r="P169" s="41" t="n"/>
      <c r="Q169" s="41" t="n"/>
      <c r="R169" s="23" t="n"/>
      <c r="S169" s="23" t="n"/>
      <c r="T169" s="42">
        <f>IF(OR(L169="",M169=""),"",IFERROR(Settings!$B$3*Settings!$B$5,0))</f>
        <v/>
      </c>
      <c r="U169" s="42">
        <f>IF(OR(L169="",M169="",R169=""),"",ABS(L169-M169)*R169*IF(S169="",1,S169))</f>
        <v/>
      </c>
      <c r="V169" s="26">
        <f>IFERROR(ABS(N169-L169)/ABS(L169-M169),"")</f>
        <v/>
      </c>
      <c r="W169" s="23" t="n"/>
      <c r="X169" s="23" t="n"/>
      <c r="Y169" s="23" t="n"/>
      <c r="Z169" s="23" t="n"/>
      <c r="AA169" s="23" t="n"/>
      <c r="AB169" s="23" t="n"/>
      <c r="AC169" s="23" t="n"/>
      <c r="AD169" s="42">
        <f>IF(OR(L169="",Q169="",R169=""),"",IF(H169="Long",(Q169-L169)*R169*IF(S169="",1,S169),(L169-Q169)*R169*IF(S169="",1,S169)))</f>
        <v/>
      </c>
      <c r="AE169" s="41" t="n"/>
      <c r="AF169" s="41" t="n"/>
      <c r="AG169" s="42">
        <f>IF(AD169="","",AD169-IF(AE169="",0,AE169)-IF(AF169="",0,AF169))</f>
        <v/>
      </c>
      <c r="AH169" s="26">
        <f>IFERROR(AG169/U169,"")</f>
        <v/>
      </c>
      <c r="AI169" s="23" t="n"/>
      <c r="AJ169" s="23" t="n"/>
      <c r="AK169" s="23" t="n"/>
      <c r="AL169" s="23" t="n"/>
    </row>
    <row r="170">
      <c r="A170" s="20">
        <f>IF(B170="","","TR-"&amp;TEXT(ROW()-2,"0000"))</f>
        <v/>
      </c>
      <c r="B170" s="43" t="n"/>
      <c r="C170" s="44" t="n"/>
      <c r="D170" s="44" t="n"/>
      <c r="E170" s="29" t="n"/>
      <c r="F170" s="29" t="n"/>
      <c r="G170" s="29" t="n"/>
      <c r="H170" s="29" t="n"/>
      <c r="I170" s="29" t="n"/>
      <c r="J170" s="29" t="n"/>
      <c r="K170" s="29" t="n"/>
      <c r="L170" s="45" t="n"/>
      <c r="M170" s="45" t="n"/>
      <c r="N170" s="45" t="n"/>
      <c r="O170" s="45" t="n"/>
      <c r="P170" s="45" t="n"/>
      <c r="Q170" s="45" t="n"/>
      <c r="R170" s="29" t="n"/>
      <c r="S170" s="29" t="n"/>
      <c r="T170" s="42">
        <f>IF(OR(L170="",M170=""),"",IFERROR(Settings!$B$3*Settings!$B$5,0))</f>
        <v/>
      </c>
      <c r="U170" s="42">
        <f>IF(OR(L170="",M170="",R170=""),"",ABS(L170-M170)*R170*IF(S170="",1,S170))</f>
        <v/>
      </c>
      <c r="V170" s="26">
        <f>IFERROR(ABS(N170-L170)/ABS(L170-M170),"")</f>
        <v/>
      </c>
      <c r="W170" s="29" t="n"/>
      <c r="X170" s="29" t="n"/>
      <c r="Y170" s="29" t="n"/>
      <c r="Z170" s="29" t="n"/>
      <c r="AA170" s="29" t="n"/>
      <c r="AB170" s="29" t="n"/>
      <c r="AC170" s="29" t="n"/>
      <c r="AD170" s="42">
        <f>IF(OR(L170="",Q170="",R170=""),"",IF(H170="Long",(Q170-L170)*R170*IF(S170="",1,S170),(L170-Q170)*R170*IF(S170="",1,S170)))</f>
        <v/>
      </c>
      <c r="AE170" s="45" t="n"/>
      <c r="AF170" s="45" t="n"/>
      <c r="AG170" s="42">
        <f>IF(AD170="","",AD170-IF(AE170="",0,AE170)-IF(AF170="",0,AF170))</f>
        <v/>
      </c>
      <c r="AH170" s="26">
        <f>IFERROR(AG170/U170,"")</f>
        <v/>
      </c>
      <c r="AI170" s="29" t="n"/>
      <c r="AJ170" s="29" t="n"/>
      <c r="AK170" s="29" t="n"/>
      <c r="AL170" s="29" t="n"/>
    </row>
    <row r="171">
      <c r="A171" s="20">
        <f>IF(B171="","","TR-"&amp;TEXT(ROW()-2,"0000"))</f>
        <v/>
      </c>
      <c r="B171" s="39" t="n"/>
      <c r="C171" s="40" t="n"/>
      <c r="D171" s="40" t="n"/>
      <c r="E171" s="23" t="n"/>
      <c r="F171" s="23" t="n"/>
      <c r="G171" s="23" t="n"/>
      <c r="H171" s="23" t="n"/>
      <c r="I171" s="23" t="n"/>
      <c r="J171" s="23" t="n"/>
      <c r="K171" s="23" t="n"/>
      <c r="L171" s="41" t="n"/>
      <c r="M171" s="41" t="n"/>
      <c r="N171" s="41" t="n"/>
      <c r="O171" s="41" t="n"/>
      <c r="P171" s="41" t="n"/>
      <c r="Q171" s="41" t="n"/>
      <c r="R171" s="23" t="n"/>
      <c r="S171" s="23" t="n"/>
      <c r="T171" s="42">
        <f>IF(OR(L171="",M171=""),"",IFERROR(Settings!$B$3*Settings!$B$5,0))</f>
        <v/>
      </c>
      <c r="U171" s="42">
        <f>IF(OR(L171="",M171="",R171=""),"",ABS(L171-M171)*R171*IF(S171="",1,S171))</f>
        <v/>
      </c>
      <c r="V171" s="26">
        <f>IFERROR(ABS(N171-L171)/ABS(L171-M171),"")</f>
        <v/>
      </c>
      <c r="W171" s="23" t="n"/>
      <c r="X171" s="23" t="n"/>
      <c r="Y171" s="23" t="n"/>
      <c r="Z171" s="23" t="n"/>
      <c r="AA171" s="23" t="n"/>
      <c r="AB171" s="23" t="n"/>
      <c r="AC171" s="23" t="n"/>
      <c r="AD171" s="42">
        <f>IF(OR(L171="",Q171="",R171=""),"",IF(H171="Long",(Q171-L171)*R171*IF(S171="",1,S171),(L171-Q171)*R171*IF(S171="",1,S171)))</f>
        <v/>
      </c>
      <c r="AE171" s="41" t="n"/>
      <c r="AF171" s="41" t="n"/>
      <c r="AG171" s="42">
        <f>IF(AD171="","",AD171-IF(AE171="",0,AE171)-IF(AF171="",0,AF171))</f>
        <v/>
      </c>
      <c r="AH171" s="26">
        <f>IFERROR(AG171/U171,"")</f>
        <v/>
      </c>
      <c r="AI171" s="23" t="n"/>
      <c r="AJ171" s="23" t="n"/>
      <c r="AK171" s="23" t="n"/>
      <c r="AL171" s="23" t="n"/>
    </row>
    <row r="172">
      <c r="A172" s="20">
        <f>IF(B172="","","TR-"&amp;TEXT(ROW()-2,"0000"))</f>
        <v/>
      </c>
      <c r="B172" s="43" t="n"/>
      <c r="C172" s="44" t="n"/>
      <c r="D172" s="44" t="n"/>
      <c r="E172" s="29" t="n"/>
      <c r="F172" s="29" t="n"/>
      <c r="G172" s="29" t="n"/>
      <c r="H172" s="29" t="n"/>
      <c r="I172" s="29" t="n"/>
      <c r="J172" s="29" t="n"/>
      <c r="K172" s="29" t="n"/>
      <c r="L172" s="45" t="n"/>
      <c r="M172" s="45" t="n"/>
      <c r="N172" s="45" t="n"/>
      <c r="O172" s="45" t="n"/>
      <c r="P172" s="45" t="n"/>
      <c r="Q172" s="45" t="n"/>
      <c r="R172" s="29" t="n"/>
      <c r="S172" s="29" t="n"/>
      <c r="T172" s="42">
        <f>IF(OR(L172="",M172=""),"",IFERROR(Settings!$B$3*Settings!$B$5,0))</f>
        <v/>
      </c>
      <c r="U172" s="42">
        <f>IF(OR(L172="",M172="",R172=""),"",ABS(L172-M172)*R172*IF(S172="",1,S172))</f>
        <v/>
      </c>
      <c r="V172" s="26">
        <f>IFERROR(ABS(N172-L172)/ABS(L172-M172),"")</f>
        <v/>
      </c>
      <c r="W172" s="29" t="n"/>
      <c r="X172" s="29" t="n"/>
      <c r="Y172" s="29" t="n"/>
      <c r="Z172" s="29" t="n"/>
      <c r="AA172" s="29" t="n"/>
      <c r="AB172" s="29" t="n"/>
      <c r="AC172" s="29" t="n"/>
      <c r="AD172" s="42">
        <f>IF(OR(L172="",Q172="",R172=""),"",IF(H172="Long",(Q172-L172)*R172*IF(S172="",1,S172),(L172-Q172)*R172*IF(S172="",1,S172)))</f>
        <v/>
      </c>
      <c r="AE172" s="45" t="n"/>
      <c r="AF172" s="45" t="n"/>
      <c r="AG172" s="42">
        <f>IF(AD172="","",AD172-IF(AE172="",0,AE172)-IF(AF172="",0,AF172))</f>
        <v/>
      </c>
      <c r="AH172" s="26">
        <f>IFERROR(AG172/U172,"")</f>
        <v/>
      </c>
      <c r="AI172" s="29" t="n"/>
      <c r="AJ172" s="29" t="n"/>
      <c r="AK172" s="29" t="n"/>
      <c r="AL172" s="29" t="n"/>
    </row>
    <row r="173">
      <c r="A173" s="20">
        <f>IF(B173="","","TR-"&amp;TEXT(ROW()-2,"0000"))</f>
        <v/>
      </c>
      <c r="B173" s="39" t="n"/>
      <c r="C173" s="40" t="n"/>
      <c r="D173" s="40" t="n"/>
      <c r="E173" s="23" t="n"/>
      <c r="F173" s="23" t="n"/>
      <c r="G173" s="23" t="n"/>
      <c r="H173" s="23" t="n"/>
      <c r="I173" s="23" t="n"/>
      <c r="J173" s="23" t="n"/>
      <c r="K173" s="23" t="n"/>
      <c r="L173" s="41" t="n"/>
      <c r="M173" s="41" t="n"/>
      <c r="N173" s="41" t="n"/>
      <c r="O173" s="41" t="n"/>
      <c r="P173" s="41" t="n"/>
      <c r="Q173" s="41" t="n"/>
      <c r="R173" s="23" t="n"/>
      <c r="S173" s="23" t="n"/>
      <c r="T173" s="42">
        <f>IF(OR(L173="",M173=""),"",IFERROR(Settings!$B$3*Settings!$B$5,0))</f>
        <v/>
      </c>
      <c r="U173" s="42">
        <f>IF(OR(L173="",M173="",R173=""),"",ABS(L173-M173)*R173*IF(S173="",1,S173))</f>
        <v/>
      </c>
      <c r="V173" s="26">
        <f>IFERROR(ABS(N173-L173)/ABS(L173-M173),"")</f>
        <v/>
      </c>
      <c r="W173" s="23" t="n"/>
      <c r="X173" s="23" t="n"/>
      <c r="Y173" s="23" t="n"/>
      <c r="Z173" s="23" t="n"/>
      <c r="AA173" s="23" t="n"/>
      <c r="AB173" s="23" t="n"/>
      <c r="AC173" s="23" t="n"/>
      <c r="AD173" s="42">
        <f>IF(OR(L173="",Q173="",R173=""),"",IF(H173="Long",(Q173-L173)*R173*IF(S173="",1,S173),(L173-Q173)*R173*IF(S173="",1,S173)))</f>
        <v/>
      </c>
      <c r="AE173" s="41" t="n"/>
      <c r="AF173" s="41" t="n"/>
      <c r="AG173" s="42">
        <f>IF(AD173="","",AD173-IF(AE173="",0,AE173)-IF(AF173="",0,AF173))</f>
        <v/>
      </c>
      <c r="AH173" s="26">
        <f>IFERROR(AG173/U173,"")</f>
        <v/>
      </c>
      <c r="AI173" s="23" t="n"/>
      <c r="AJ173" s="23" t="n"/>
      <c r="AK173" s="23" t="n"/>
      <c r="AL173" s="23" t="n"/>
    </row>
    <row r="174">
      <c r="A174" s="20">
        <f>IF(B174="","","TR-"&amp;TEXT(ROW()-2,"0000"))</f>
        <v/>
      </c>
      <c r="B174" s="43" t="n"/>
      <c r="C174" s="44" t="n"/>
      <c r="D174" s="44" t="n"/>
      <c r="E174" s="29" t="n"/>
      <c r="F174" s="29" t="n"/>
      <c r="G174" s="29" t="n"/>
      <c r="H174" s="29" t="n"/>
      <c r="I174" s="29" t="n"/>
      <c r="J174" s="29" t="n"/>
      <c r="K174" s="29" t="n"/>
      <c r="L174" s="45" t="n"/>
      <c r="M174" s="45" t="n"/>
      <c r="N174" s="45" t="n"/>
      <c r="O174" s="45" t="n"/>
      <c r="P174" s="45" t="n"/>
      <c r="Q174" s="45" t="n"/>
      <c r="R174" s="29" t="n"/>
      <c r="S174" s="29" t="n"/>
      <c r="T174" s="42">
        <f>IF(OR(L174="",M174=""),"",IFERROR(Settings!$B$3*Settings!$B$5,0))</f>
        <v/>
      </c>
      <c r="U174" s="42">
        <f>IF(OR(L174="",M174="",R174=""),"",ABS(L174-M174)*R174*IF(S174="",1,S174))</f>
        <v/>
      </c>
      <c r="V174" s="26">
        <f>IFERROR(ABS(N174-L174)/ABS(L174-M174),"")</f>
        <v/>
      </c>
      <c r="W174" s="29" t="n"/>
      <c r="X174" s="29" t="n"/>
      <c r="Y174" s="29" t="n"/>
      <c r="Z174" s="29" t="n"/>
      <c r="AA174" s="29" t="n"/>
      <c r="AB174" s="29" t="n"/>
      <c r="AC174" s="29" t="n"/>
      <c r="AD174" s="42">
        <f>IF(OR(L174="",Q174="",R174=""),"",IF(H174="Long",(Q174-L174)*R174*IF(S174="",1,S174),(L174-Q174)*R174*IF(S174="",1,S174)))</f>
        <v/>
      </c>
      <c r="AE174" s="45" t="n"/>
      <c r="AF174" s="45" t="n"/>
      <c r="AG174" s="42">
        <f>IF(AD174="","",AD174-IF(AE174="",0,AE174)-IF(AF174="",0,AF174))</f>
        <v/>
      </c>
      <c r="AH174" s="26">
        <f>IFERROR(AG174/U174,"")</f>
        <v/>
      </c>
      <c r="AI174" s="29" t="n"/>
      <c r="AJ174" s="29" t="n"/>
      <c r="AK174" s="29" t="n"/>
      <c r="AL174" s="29" t="n"/>
    </row>
    <row r="175">
      <c r="A175" s="20">
        <f>IF(B175="","","TR-"&amp;TEXT(ROW()-2,"0000"))</f>
        <v/>
      </c>
      <c r="B175" s="39" t="n"/>
      <c r="C175" s="40" t="n"/>
      <c r="D175" s="40" t="n"/>
      <c r="E175" s="23" t="n"/>
      <c r="F175" s="23" t="n"/>
      <c r="G175" s="23" t="n"/>
      <c r="H175" s="23" t="n"/>
      <c r="I175" s="23" t="n"/>
      <c r="J175" s="23" t="n"/>
      <c r="K175" s="23" t="n"/>
      <c r="L175" s="41" t="n"/>
      <c r="M175" s="41" t="n"/>
      <c r="N175" s="41" t="n"/>
      <c r="O175" s="41" t="n"/>
      <c r="P175" s="41" t="n"/>
      <c r="Q175" s="41" t="n"/>
      <c r="R175" s="23" t="n"/>
      <c r="S175" s="23" t="n"/>
      <c r="T175" s="42">
        <f>IF(OR(L175="",M175=""),"",IFERROR(Settings!$B$3*Settings!$B$5,0))</f>
        <v/>
      </c>
      <c r="U175" s="42">
        <f>IF(OR(L175="",M175="",R175=""),"",ABS(L175-M175)*R175*IF(S175="",1,S175))</f>
        <v/>
      </c>
      <c r="V175" s="26">
        <f>IFERROR(ABS(N175-L175)/ABS(L175-M175),"")</f>
        <v/>
      </c>
      <c r="W175" s="23" t="n"/>
      <c r="X175" s="23" t="n"/>
      <c r="Y175" s="23" t="n"/>
      <c r="Z175" s="23" t="n"/>
      <c r="AA175" s="23" t="n"/>
      <c r="AB175" s="23" t="n"/>
      <c r="AC175" s="23" t="n"/>
      <c r="AD175" s="42">
        <f>IF(OR(L175="",Q175="",R175=""),"",IF(H175="Long",(Q175-L175)*R175*IF(S175="",1,S175),(L175-Q175)*R175*IF(S175="",1,S175)))</f>
        <v/>
      </c>
      <c r="AE175" s="41" t="n"/>
      <c r="AF175" s="41" t="n"/>
      <c r="AG175" s="42">
        <f>IF(AD175="","",AD175-IF(AE175="",0,AE175)-IF(AF175="",0,AF175))</f>
        <v/>
      </c>
      <c r="AH175" s="26">
        <f>IFERROR(AG175/U175,"")</f>
        <v/>
      </c>
      <c r="AI175" s="23" t="n"/>
      <c r="AJ175" s="23" t="n"/>
      <c r="AK175" s="23" t="n"/>
      <c r="AL175" s="23" t="n"/>
    </row>
    <row r="176">
      <c r="A176" s="20">
        <f>IF(B176="","","TR-"&amp;TEXT(ROW()-2,"0000"))</f>
        <v/>
      </c>
      <c r="B176" s="43" t="n"/>
      <c r="C176" s="44" t="n"/>
      <c r="D176" s="44" t="n"/>
      <c r="E176" s="29" t="n"/>
      <c r="F176" s="29" t="n"/>
      <c r="G176" s="29" t="n"/>
      <c r="H176" s="29" t="n"/>
      <c r="I176" s="29" t="n"/>
      <c r="J176" s="29" t="n"/>
      <c r="K176" s="29" t="n"/>
      <c r="L176" s="45" t="n"/>
      <c r="M176" s="45" t="n"/>
      <c r="N176" s="45" t="n"/>
      <c r="O176" s="45" t="n"/>
      <c r="P176" s="45" t="n"/>
      <c r="Q176" s="45" t="n"/>
      <c r="R176" s="29" t="n"/>
      <c r="S176" s="29" t="n"/>
      <c r="T176" s="42">
        <f>IF(OR(L176="",M176=""),"",IFERROR(Settings!$B$3*Settings!$B$5,0))</f>
        <v/>
      </c>
      <c r="U176" s="42">
        <f>IF(OR(L176="",M176="",R176=""),"",ABS(L176-M176)*R176*IF(S176="",1,S176))</f>
        <v/>
      </c>
      <c r="V176" s="26">
        <f>IFERROR(ABS(N176-L176)/ABS(L176-M176),"")</f>
        <v/>
      </c>
      <c r="W176" s="29" t="n"/>
      <c r="X176" s="29" t="n"/>
      <c r="Y176" s="29" t="n"/>
      <c r="Z176" s="29" t="n"/>
      <c r="AA176" s="29" t="n"/>
      <c r="AB176" s="29" t="n"/>
      <c r="AC176" s="29" t="n"/>
      <c r="AD176" s="42">
        <f>IF(OR(L176="",Q176="",R176=""),"",IF(H176="Long",(Q176-L176)*R176*IF(S176="",1,S176),(L176-Q176)*R176*IF(S176="",1,S176)))</f>
        <v/>
      </c>
      <c r="AE176" s="45" t="n"/>
      <c r="AF176" s="45" t="n"/>
      <c r="AG176" s="42">
        <f>IF(AD176="","",AD176-IF(AE176="",0,AE176)-IF(AF176="",0,AF176))</f>
        <v/>
      </c>
      <c r="AH176" s="26">
        <f>IFERROR(AG176/U176,"")</f>
        <v/>
      </c>
      <c r="AI176" s="29" t="n"/>
      <c r="AJ176" s="29" t="n"/>
      <c r="AK176" s="29" t="n"/>
      <c r="AL176" s="29" t="n"/>
    </row>
    <row r="177">
      <c r="A177" s="20">
        <f>IF(B177="","","TR-"&amp;TEXT(ROW()-2,"0000"))</f>
        <v/>
      </c>
      <c r="B177" s="39" t="n"/>
      <c r="C177" s="40" t="n"/>
      <c r="D177" s="40" t="n"/>
      <c r="E177" s="23" t="n"/>
      <c r="F177" s="23" t="n"/>
      <c r="G177" s="23" t="n"/>
      <c r="H177" s="23" t="n"/>
      <c r="I177" s="23" t="n"/>
      <c r="J177" s="23" t="n"/>
      <c r="K177" s="23" t="n"/>
      <c r="L177" s="41" t="n"/>
      <c r="M177" s="41" t="n"/>
      <c r="N177" s="41" t="n"/>
      <c r="O177" s="41" t="n"/>
      <c r="P177" s="41" t="n"/>
      <c r="Q177" s="41" t="n"/>
      <c r="R177" s="23" t="n"/>
      <c r="S177" s="23" t="n"/>
      <c r="T177" s="42">
        <f>IF(OR(L177="",M177=""),"",IFERROR(Settings!$B$3*Settings!$B$5,0))</f>
        <v/>
      </c>
      <c r="U177" s="42">
        <f>IF(OR(L177="",M177="",R177=""),"",ABS(L177-M177)*R177*IF(S177="",1,S177))</f>
        <v/>
      </c>
      <c r="V177" s="26">
        <f>IFERROR(ABS(N177-L177)/ABS(L177-M177),"")</f>
        <v/>
      </c>
      <c r="W177" s="23" t="n"/>
      <c r="X177" s="23" t="n"/>
      <c r="Y177" s="23" t="n"/>
      <c r="Z177" s="23" t="n"/>
      <c r="AA177" s="23" t="n"/>
      <c r="AB177" s="23" t="n"/>
      <c r="AC177" s="23" t="n"/>
      <c r="AD177" s="42">
        <f>IF(OR(L177="",Q177="",R177=""),"",IF(H177="Long",(Q177-L177)*R177*IF(S177="",1,S177),(L177-Q177)*R177*IF(S177="",1,S177)))</f>
        <v/>
      </c>
      <c r="AE177" s="41" t="n"/>
      <c r="AF177" s="41" t="n"/>
      <c r="AG177" s="42">
        <f>IF(AD177="","",AD177-IF(AE177="",0,AE177)-IF(AF177="",0,AF177))</f>
        <v/>
      </c>
      <c r="AH177" s="26">
        <f>IFERROR(AG177/U177,"")</f>
        <v/>
      </c>
      <c r="AI177" s="23" t="n"/>
      <c r="AJ177" s="23" t="n"/>
      <c r="AK177" s="23" t="n"/>
      <c r="AL177" s="23" t="n"/>
    </row>
    <row r="178">
      <c r="A178" s="20">
        <f>IF(B178="","","TR-"&amp;TEXT(ROW()-2,"0000"))</f>
        <v/>
      </c>
      <c r="B178" s="43" t="n"/>
      <c r="C178" s="44" t="n"/>
      <c r="D178" s="44" t="n"/>
      <c r="E178" s="29" t="n"/>
      <c r="F178" s="29" t="n"/>
      <c r="G178" s="29" t="n"/>
      <c r="H178" s="29" t="n"/>
      <c r="I178" s="29" t="n"/>
      <c r="J178" s="29" t="n"/>
      <c r="K178" s="29" t="n"/>
      <c r="L178" s="45" t="n"/>
      <c r="M178" s="45" t="n"/>
      <c r="N178" s="45" t="n"/>
      <c r="O178" s="45" t="n"/>
      <c r="P178" s="45" t="n"/>
      <c r="Q178" s="45" t="n"/>
      <c r="R178" s="29" t="n"/>
      <c r="S178" s="29" t="n"/>
      <c r="T178" s="42">
        <f>IF(OR(L178="",M178=""),"",IFERROR(Settings!$B$3*Settings!$B$5,0))</f>
        <v/>
      </c>
      <c r="U178" s="42">
        <f>IF(OR(L178="",M178="",R178=""),"",ABS(L178-M178)*R178*IF(S178="",1,S178))</f>
        <v/>
      </c>
      <c r="V178" s="26">
        <f>IFERROR(ABS(N178-L178)/ABS(L178-M178),"")</f>
        <v/>
      </c>
      <c r="W178" s="29" t="n"/>
      <c r="X178" s="29" t="n"/>
      <c r="Y178" s="29" t="n"/>
      <c r="Z178" s="29" t="n"/>
      <c r="AA178" s="29" t="n"/>
      <c r="AB178" s="29" t="n"/>
      <c r="AC178" s="29" t="n"/>
      <c r="AD178" s="42">
        <f>IF(OR(L178="",Q178="",R178=""),"",IF(H178="Long",(Q178-L178)*R178*IF(S178="",1,S178),(L178-Q178)*R178*IF(S178="",1,S178)))</f>
        <v/>
      </c>
      <c r="AE178" s="45" t="n"/>
      <c r="AF178" s="45" t="n"/>
      <c r="AG178" s="42">
        <f>IF(AD178="","",AD178-IF(AE178="",0,AE178)-IF(AF178="",0,AF178))</f>
        <v/>
      </c>
      <c r="AH178" s="26">
        <f>IFERROR(AG178/U178,"")</f>
        <v/>
      </c>
      <c r="AI178" s="29" t="n"/>
      <c r="AJ178" s="29" t="n"/>
      <c r="AK178" s="29" t="n"/>
      <c r="AL178" s="29" t="n"/>
    </row>
    <row r="179">
      <c r="A179" s="20">
        <f>IF(B179="","","TR-"&amp;TEXT(ROW()-2,"0000"))</f>
        <v/>
      </c>
      <c r="B179" s="39" t="n"/>
      <c r="C179" s="40" t="n"/>
      <c r="D179" s="40" t="n"/>
      <c r="E179" s="23" t="n"/>
      <c r="F179" s="23" t="n"/>
      <c r="G179" s="23" t="n"/>
      <c r="H179" s="23" t="n"/>
      <c r="I179" s="23" t="n"/>
      <c r="J179" s="23" t="n"/>
      <c r="K179" s="23" t="n"/>
      <c r="L179" s="41" t="n"/>
      <c r="M179" s="41" t="n"/>
      <c r="N179" s="41" t="n"/>
      <c r="O179" s="41" t="n"/>
      <c r="P179" s="41" t="n"/>
      <c r="Q179" s="41" t="n"/>
      <c r="R179" s="23" t="n"/>
      <c r="S179" s="23" t="n"/>
      <c r="T179" s="42">
        <f>IF(OR(L179="",M179=""),"",IFERROR(Settings!$B$3*Settings!$B$5,0))</f>
        <v/>
      </c>
      <c r="U179" s="42">
        <f>IF(OR(L179="",M179="",R179=""),"",ABS(L179-M179)*R179*IF(S179="",1,S179))</f>
        <v/>
      </c>
      <c r="V179" s="26">
        <f>IFERROR(ABS(N179-L179)/ABS(L179-M179),"")</f>
        <v/>
      </c>
      <c r="W179" s="23" t="n"/>
      <c r="X179" s="23" t="n"/>
      <c r="Y179" s="23" t="n"/>
      <c r="Z179" s="23" t="n"/>
      <c r="AA179" s="23" t="n"/>
      <c r="AB179" s="23" t="n"/>
      <c r="AC179" s="23" t="n"/>
      <c r="AD179" s="42">
        <f>IF(OR(L179="",Q179="",R179=""),"",IF(H179="Long",(Q179-L179)*R179*IF(S179="",1,S179),(L179-Q179)*R179*IF(S179="",1,S179)))</f>
        <v/>
      </c>
      <c r="AE179" s="41" t="n"/>
      <c r="AF179" s="41" t="n"/>
      <c r="AG179" s="42">
        <f>IF(AD179="","",AD179-IF(AE179="",0,AE179)-IF(AF179="",0,AF179))</f>
        <v/>
      </c>
      <c r="AH179" s="26">
        <f>IFERROR(AG179/U179,"")</f>
        <v/>
      </c>
      <c r="AI179" s="23" t="n"/>
      <c r="AJ179" s="23" t="n"/>
      <c r="AK179" s="23" t="n"/>
      <c r="AL179" s="23" t="n"/>
    </row>
    <row r="180">
      <c r="A180" s="20">
        <f>IF(B180="","","TR-"&amp;TEXT(ROW()-2,"0000"))</f>
        <v/>
      </c>
      <c r="B180" s="43" t="n"/>
      <c r="C180" s="44" t="n"/>
      <c r="D180" s="44" t="n"/>
      <c r="E180" s="29" t="n"/>
      <c r="F180" s="29" t="n"/>
      <c r="G180" s="29" t="n"/>
      <c r="H180" s="29" t="n"/>
      <c r="I180" s="29" t="n"/>
      <c r="J180" s="29" t="n"/>
      <c r="K180" s="29" t="n"/>
      <c r="L180" s="45" t="n"/>
      <c r="M180" s="45" t="n"/>
      <c r="N180" s="45" t="n"/>
      <c r="O180" s="45" t="n"/>
      <c r="P180" s="45" t="n"/>
      <c r="Q180" s="45" t="n"/>
      <c r="R180" s="29" t="n"/>
      <c r="S180" s="29" t="n"/>
      <c r="T180" s="42">
        <f>IF(OR(L180="",M180=""),"",IFERROR(Settings!$B$3*Settings!$B$5,0))</f>
        <v/>
      </c>
      <c r="U180" s="42">
        <f>IF(OR(L180="",M180="",R180=""),"",ABS(L180-M180)*R180*IF(S180="",1,S180))</f>
        <v/>
      </c>
      <c r="V180" s="26">
        <f>IFERROR(ABS(N180-L180)/ABS(L180-M180),"")</f>
        <v/>
      </c>
      <c r="W180" s="29" t="n"/>
      <c r="X180" s="29" t="n"/>
      <c r="Y180" s="29" t="n"/>
      <c r="Z180" s="29" t="n"/>
      <c r="AA180" s="29" t="n"/>
      <c r="AB180" s="29" t="n"/>
      <c r="AC180" s="29" t="n"/>
      <c r="AD180" s="42">
        <f>IF(OR(L180="",Q180="",R180=""),"",IF(H180="Long",(Q180-L180)*R180*IF(S180="",1,S180),(L180-Q180)*R180*IF(S180="",1,S180)))</f>
        <v/>
      </c>
      <c r="AE180" s="45" t="n"/>
      <c r="AF180" s="45" t="n"/>
      <c r="AG180" s="42">
        <f>IF(AD180="","",AD180-IF(AE180="",0,AE180)-IF(AF180="",0,AF180))</f>
        <v/>
      </c>
      <c r="AH180" s="26">
        <f>IFERROR(AG180/U180,"")</f>
        <v/>
      </c>
      <c r="AI180" s="29" t="n"/>
      <c r="AJ180" s="29" t="n"/>
      <c r="AK180" s="29" t="n"/>
      <c r="AL180" s="29" t="n"/>
    </row>
    <row r="181">
      <c r="A181" s="20">
        <f>IF(B181="","","TR-"&amp;TEXT(ROW()-2,"0000"))</f>
        <v/>
      </c>
      <c r="B181" s="39" t="n"/>
      <c r="C181" s="40" t="n"/>
      <c r="D181" s="40" t="n"/>
      <c r="E181" s="23" t="n"/>
      <c r="F181" s="23" t="n"/>
      <c r="G181" s="23" t="n"/>
      <c r="H181" s="23" t="n"/>
      <c r="I181" s="23" t="n"/>
      <c r="J181" s="23" t="n"/>
      <c r="K181" s="23" t="n"/>
      <c r="L181" s="41" t="n"/>
      <c r="M181" s="41" t="n"/>
      <c r="N181" s="41" t="n"/>
      <c r="O181" s="41" t="n"/>
      <c r="P181" s="41" t="n"/>
      <c r="Q181" s="41" t="n"/>
      <c r="R181" s="23" t="n"/>
      <c r="S181" s="23" t="n"/>
      <c r="T181" s="42">
        <f>IF(OR(L181="",M181=""),"",IFERROR(Settings!$B$3*Settings!$B$5,0))</f>
        <v/>
      </c>
      <c r="U181" s="42">
        <f>IF(OR(L181="",M181="",R181=""),"",ABS(L181-M181)*R181*IF(S181="",1,S181))</f>
        <v/>
      </c>
      <c r="V181" s="26">
        <f>IFERROR(ABS(N181-L181)/ABS(L181-M181),"")</f>
        <v/>
      </c>
      <c r="W181" s="23" t="n"/>
      <c r="X181" s="23" t="n"/>
      <c r="Y181" s="23" t="n"/>
      <c r="Z181" s="23" t="n"/>
      <c r="AA181" s="23" t="n"/>
      <c r="AB181" s="23" t="n"/>
      <c r="AC181" s="23" t="n"/>
      <c r="AD181" s="42">
        <f>IF(OR(L181="",Q181="",R181=""),"",IF(H181="Long",(Q181-L181)*R181*IF(S181="",1,S181),(L181-Q181)*R181*IF(S181="",1,S181)))</f>
        <v/>
      </c>
      <c r="AE181" s="41" t="n"/>
      <c r="AF181" s="41" t="n"/>
      <c r="AG181" s="42">
        <f>IF(AD181="","",AD181-IF(AE181="",0,AE181)-IF(AF181="",0,AF181))</f>
        <v/>
      </c>
      <c r="AH181" s="26">
        <f>IFERROR(AG181/U181,"")</f>
        <v/>
      </c>
      <c r="AI181" s="23" t="n"/>
      <c r="AJ181" s="23" t="n"/>
      <c r="AK181" s="23" t="n"/>
      <c r="AL181" s="23" t="n"/>
    </row>
    <row r="182">
      <c r="A182" s="20">
        <f>IF(B182="","","TR-"&amp;TEXT(ROW()-2,"0000"))</f>
        <v/>
      </c>
      <c r="B182" s="43" t="n"/>
      <c r="C182" s="44" t="n"/>
      <c r="D182" s="44" t="n"/>
      <c r="E182" s="29" t="n"/>
      <c r="F182" s="29" t="n"/>
      <c r="G182" s="29" t="n"/>
      <c r="H182" s="29" t="n"/>
      <c r="I182" s="29" t="n"/>
      <c r="J182" s="29" t="n"/>
      <c r="K182" s="29" t="n"/>
      <c r="L182" s="45" t="n"/>
      <c r="M182" s="45" t="n"/>
      <c r="N182" s="45" t="n"/>
      <c r="O182" s="45" t="n"/>
      <c r="P182" s="45" t="n"/>
      <c r="Q182" s="45" t="n"/>
      <c r="R182" s="29" t="n"/>
      <c r="S182" s="29" t="n"/>
      <c r="T182" s="42">
        <f>IF(OR(L182="",M182=""),"",IFERROR(Settings!$B$3*Settings!$B$5,0))</f>
        <v/>
      </c>
      <c r="U182" s="42">
        <f>IF(OR(L182="",M182="",R182=""),"",ABS(L182-M182)*R182*IF(S182="",1,S182))</f>
        <v/>
      </c>
      <c r="V182" s="26">
        <f>IFERROR(ABS(N182-L182)/ABS(L182-M182),"")</f>
        <v/>
      </c>
      <c r="W182" s="29" t="n"/>
      <c r="X182" s="29" t="n"/>
      <c r="Y182" s="29" t="n"/>
      <c r="Z182" s="29" t="n"/>
      <c r="AA182" s="29" t="n"/>
      <c r="AB182" s="29" t="n"/>
      <c r="AC182" s="29" t="n"/>
      <c r="AD182" s="42">
        <f>IF(OR(L182="",Q182="",R182=""),"",IF(H182="Long",(Q182-L182)*R182*IF(S182="",1,S182),(L182-Q182)*R182*IF(S182="",1,S182)))</f>
        <v/>
      </c>
      <c r="AE182" s="45" t="n"/>
      <c r="AF182" s="45" t="n"/>
      <c r="AG182" s="42">
        <f>IF(AD182="","",AD182-IF(AE182="",0,AE182)-IF(AF182="",0,AF182))</f>
        <v/>
      </c>
      <c r="AH182" s="26">
        <f>IFERROR(AG182/U182,"")</f>
        <v/>
      </c>
      <c r="AI182" s="29" t="n"/>
      <c r="AJ182" s="29" t="n"/>
      <c r="AK182" s="29" t="n"/>
      <c r="AL182" s="29" t="n"/>
    </row>
    <row r="183">
      <c r="A183" s="20">
        <f>IF(B183="","","TR-"&amp;TEXT(ROW()-2,"0000"))</f>
        <v/>
      </c>
      <c r="B183" s="39" t="n"/>
      <c r="C183" s="40" t="n"/>
      <c r="D183" s="40" t="n"/>
      <c r="E183" s="23" t="n"/>
      <c r="F183" s="23" t="n"/>
      <c r="G183" s="23" t="n"/>
      <c r="H183" s="23" t="n"/>
      <c r="I183" s="23" t="n"/>
      <c r="J183" s="23" t="n"/>
      <c r="K183" s="23" t="n"/>
      <c r="L183" s="41" t="n"/>
      <c r="M183" s="41" t="n"/>
      <c r="N183" s="41" t="n"/>
      <c r="O183" s="41" t="n"/>
      <c r="P183" s="41" t="n"/>
      <c r="Q183" s="41" t="n"/>
      <c r="R183" s="23" t="n"/>
      <c r="S183" s="23" t="n"/>
      <c r="T183" s="42">
        <f>IF(OR(L183="",M183=""),"",IFERROR(Settings!$B$3*Settings!$B$5,0))</f>
        <v/>
      </c>
      <c r="U183" s="42">
        <f>IF(OR(L183="",M183="",R183=""),"",ABS(L183-M183)*R183*IF(S183="",1,S183))</f>
        <v/>
      </c>
      <c r="V183" s="26">
        <f>IFERROR(ABS(N183-L183)/ABS(L183-M183),"")</f>
        <v/>
      </c>
      <c r="W183" s="23" t="n"/>
      <c r="X183" s="23" t="n"/>
      <c r="Y183" s="23" t="n"/>
      <c r="Z183" s="23" t="n"/>
      <c r="AA183" s="23" t="n"/>
      <c r="AB183" s="23" t="n"/>
      <c r="AC183" s="23" t="n"/>
      <c r="AD183" s="42">
        <f>IF(OR(L183="",Q183="",R183=""),"",IF(H183="Long",(Q183-L183)*R183*IF(S183="",1,S183),(L183-Q183)*R183*IF(S183="",1,S183)))</f>
        <v/>
      </c>
      <c r="AE183" s="41" t="n"/>
      <c r="AF183" s="41" t="n"/>
      <c r="AG183" s="42">
        <f>IF(AD183="","",AD183-IF(AE183="",0,AE183)-IF(AF183="",0,AF183))</f>
        <v/>
      </c>
      <c r="AH183" s="26">
        <f>IFERROR(AG183/U183,"")</f>
        <v/>
      </c>
      <c r="AI183" s="23" t="n"/>
      <c r="AJ183" s="23" t="n"/>
      <c r="AK183" s="23" t="n"/>
      <c r="AL183" s="23" t="n"/>
    </row>
    <row r="184">
      <c r="A184" s="20">
        <f>IF(B184="","","TR-"&amp;TEXT(ROW()-2,"0000"))</f>
        <v/>
      </c>
      <c r="B184" s="43" t="n"/>
      <c r="C184" s="44" t="n"/>
      <c r="D184" s="44" t="n"/>
      <c r="E184" s="29" t="n"/>
      <c r="F184" s="29" t="n"/>
      <c r="G184" s="29" t="n"/>
      <c r="H184" s="29" t="n"/>
      <c r="I184" s="29" t="n"/>
      <c r="J184" s="29" t="n"/>
      <c r="K184" s="29" t="n"/>
      <c r="L184" s="45" t="n"/>
      <c r="M184" s="45" t="n"/>
      <c r="N184" s="45" t="n"/>
      <c r="O184" s="45" t="n"/>
      <c r="P184" s="45" t="n"/>
      <c r="Q184" s="45" t="n"/>
      <c r="R184" s="29" t="n"/>
      <c r="S184" s="29" t="n"/>
      <c r="T184" s="42">
        <f>IF(OR(L184="",M184=""),"",IFERROR(Settings!$B$3*Settings!$B$5,0))</f>
        <v/>
      </c>
      <c r="U184" s="42">
        <f>IF(OR(L184="",M184="",R184=""),"",ABS(L184-M184)*R184*IF(S184="",1,S184))</f>
        <v/>
      </c>
      <c r="V184" s="26">
        <f>IFERROR(ABS(N184-L184)/ABS(L184-M184),"")</f>
        <v/>
      </c>
      <c r="W184" s="29" t="n"/>
      <c r="X184" s="29" t="n"/>
      <c r="Y184" s="29" t="n"/>
      <c r="Z184" s="29" t="n"/>
      <c r="AA184" s="29" t="n"/>
      <c r="AB184" s="29" t="n"/>
      <c r="AC184" s="29" t="n"/>
      <c r="AD184" s="42">
        <f>IF(OR(L184="",Q184="",R184=""),"",IF(H184="Long",(Q184-L184)*R184*IF(S184="",1,S184),(L184-Q184)*R184*IF(S184="",1,S184)))</f>
        <v/>
      </c>
      <c r="AE184" s="45" t="n"/>
      <c r="AF184" s="45" t="n"/>
      <c r="AG184" s="42">
        <f>IF(AD184="","",AD184-IF(AE184="",0,AE184)-IF(AF184="",0,AF184))</f>
        <v/>
      </c>
      <c r="AH184" s="26">
        <f>IFERROR(AG184/U184,"")</f>
        <v/>
      </c>
      <c r="AI184" s="29" t="n"/>
      <c r="AJ184" s="29" t="n"/>
      <c r="AK184" s="29" t="n"/>
      <c r="AL184" s="29" t="n"/>
    </row>
    <row r="185">
      <c r="A185" s="20">
        <f>IF(B185="","","TR-"&amp;TEXT(ROW()-2,"0000"))</f>
        <v/>
      </c>
      <c r="B185" s="39" t="n"/>
      <c r="C185" s="40" t="n"/>
      <c r="D185" s="40" t="n"/>
      <c r="E185" s="23" t="n"/>
      <c r="F185" s="23" t="n"/>
      <c r="G185" s="23" t="n"/>
      <c r="H185" s="23" t="n"/>
      <c r="I185" s="23" t="n"/>
      <c r="J185" s="23" t="n"/>
      <c r="K185" s="23" t="n"/>
      <c r="L185" s="41" t="n"/>
      <c r="M185" s="41" t="n"/>
      <c r="N185" s="41" t="n"/>
      <c r="O185" s="41" t="n"/>
      <c r="P185" s="41" t="n"/>
      <c r="Q185" s="41" t="n"/>
      <c r="R185" s="23" t="n"/>
      <c r="S185" s="23" t="n"/>
      <c r="T185" s="42">
        <f>IF(OR(L185="",M185=""),"",IFERROR(Settings!$B$3*Settings!$B$5,0))</f>
        <v/>
      </c>
      <c r="U185" s="42">
        <f>IF(OR(L185="",M185="",R185=""),"",ABS(L185-M185)*R185*IF(S185="",1,S185))</f>
        <v/>
      </c>
      <c r="V185" s="26">
        <f>IFERROR(ABS(N185-L185)/ABS(L185-M185),"")</f>
        <v/>
      </c>
      <c r="W185" s="23" t="n"/>
      <c r="X185" s="23" t="n"/>
      <c r="Y185" s="23" t="n"/>
      <c r="Z185" s="23" t="n"/>
      <c r="AA185" s="23" t="n"/>
      <c r="AB185" s="23" t="n"/>
      <c r="AC185" s="23" t="n"/>
      <c r="AD185" s="42">
        <f>IF(OR(L185="",Q185="",R185=""),"",IF(H185="Long",(Q185-L185)*R185*IF(S185="",1,S185),(L185-Q185)*R185*IF(S185="",1,S185)))</f>
        <v/>
      </c>
      <c r="AE185" s="41" t="n"/>
      <c r="AF185" s="41" t="n"/>
      <c r="AG185" s="42">
        <f>IF(AD185="","",AD185-IF(AE185="",0,AE185)-IF(AF185="",0,AF185))</f>
        <v/>
      </c>
      <c r="AH185" s="26">
        <f>IFERROR(AG185/U185,"")</f>
        <v/>
      </c>
      <c r="AI185" s="23" t="n"/>
      <c r="AJ185" s="23" t="n"/>
      <c r="AK185" s="23" t="n"/>
      <c r="AL185" s="23" t="n"/>
    </row>
    <row r="186">
      <c r="A186" s="20">
        <f>IF(B186="","","TR-"&amp;TEXT(ROW()-2,"0000"))</f>
        <v/>
      </c>
      <c r="B186" s="43" t="n"/>
      <c r="C186" s="44" t="n"/>
      <c r="D186" s="44" t="n"/>
      <c r="E186" s="29" t="n"/>
      <c r="F186" s="29" t="n"/>
      <c r="G186" s="29" t="n"/>
      <c r="H186" s="29" t="n"/>
      <c r="I186" s="29" t="n"/>
      <c r="J186" s="29" t="n"/>
      <c r="K186" s="29" t="n"/>
      <c r="L186" s="45" t="n"/>
      <c r="M186" s="45" t="n"/>
      <c r="N186" s="45" t="n"/>
      <c r="O186" s="45" t="n"/>
      <c r="P186" s="45" t="n"/>
      <c r="Q186" s="45" t="n"/>
      <c r="R186" s="29" t="n"/>
      <c r="S186" s="29" t="n"/>
      <c r="T186" s="42">
        <f>IF(OR(L186="",M186=""),"",IFERROR(Settings!$B$3*Settings!$B$5,0))</f>
        <v/>
      </c>
      <c r="U186" s="42">
        <f>IF(OR(L186="",M186="",R186=""),"",ABS(L186-M186)*R186*IF(S186="",1,S186))</f>
        <v/>
      </c>
      <c r="V186" s="26">
        <f>IFERROR(ABS(N186-L186)/ABS(L186-M186),"")</f>
        <v/>
      </c>
      <c r="W186" s="29" t="n"/>
      <c r="X186" s="29" t="n"/>
      <c r="Y186" s="29" t="n"/>
      <c r="Z186" s="29" t="n"/>
      <c r="AA186" s="29" t="n"/>
      <c r="AB186" s="29" t="n"/>
      <c r="AC186" s="29" t="n"/>
      <c r="AD186" s="42">
        <f>IF(OR(L186="",Q186="",R186=""),"",IF(H186="Long",(Q186-L186)*R186*IF(S186="",1,S186),(L186-Q186)*R186*IF(S186="",1,S186)))</f>
        <v/>
      </c>
      <c r="AE186" s="45" t="n"/>
      <c r="AF186" s="45" t="n"/>
      <c r="AG186" s="42">
        <f>IF(AD186="","",AD186-IF(AE186="",0,AE186)-IF(AF186="",0,AF186))</f>
        <v/>
      </c>
      <c r="AH186" s="26">
        <f>IFERROR(AG186/U186,"")</f>
        <v/>
      </c>
      <c r="AI186" s="29" t="n"/>
      <c r="AJ186" s="29" t="n"/>
      <c r="AK186" s="29" t="n"/>
      <c r="AL186" s="29" t="n"/>
    </row>
    <row r="187">
      <c r="A187" s="20">
        <f>IF(B187="","","TR-"&amp;TEXT(ROW()-2,"0000"))</f>
        <v/>
      </c>
      <c r="B187" s="39" t="n"/>
      <c r="C187" s="40" t="n"/>
      <c r="D187" s="40" t="n"/>
      <c r="E187" s="23" t="n"/>
      <c r="F187" s="23" t="n"/>
      <c r="G187" s="23" t="n"/>
      <c r="H187" s="23" t="n"/>
      <c r="I187" s="23" t="n"/>
      <c r="J187" s="23" t="n"/>
      <c r="K187" s="23" t="n"/>
      <c r="L187" s="41" t="n"/>
      <c r="M187" s="41" t="n"/>
      <c r="N187" s="41" t="n"/>
      <c r="O187" s="41" t="n"/>
      <c r="P187" s="41" t="n"/>
      <c r="Q187" s="41" t="n"/>
      <c r="R187" s="23" t="n"/>
      <c r="S187" s="23" t="n"/>
      <c r="T187" s="42">
        <f>IF(OR(L187="",M187=""),"",IFERROR(Settings!$B$3*Settings!$B$5,0))</f>
        <v/>
      </c>
      <c r="U187" s="42">
        <f>IF(OR(L187="",M187="",R187=""),"",ABS(L187-M187)*R187*IF(S187="",1,S187))</f>
        <v/>
      </c>
      <c r="V187" s="26">
        <f>IFERROR(ABS(N187-L187)/ABS(L187-M187),"")</f>
        <v/>
      </c>
      <c r="W187" s="23" t="n"/>
      <c r="X187" s="23" t="n"/>
      <c r="Y187" s="23" t="n"/>
      <c r="Z187" s="23" t="n"/>
      <c r="AA187" s="23" t="n"/>
      <c r="AB187" s="23" t="n"/>
      <c r="AC187" s="23" t="n"/>
      <c r="AD187" s="42">
        <f>IF(OR(L187="",Q187="",R187=""),"",IF(H187="Long",(Q187-L187)*R187*IF(S187="",1,S187),(L187-Q187)*R187*IF(S187="",1,S187)))</f>
        <v/>
      </c>
      <c r="AE187" s="41" t="n"/>
      <c r="AF187" s="41" t="n"/>
      <c r="AG187" s="42">
        <f>IF(AD187="","",AD187-IF(AE187="",0,AE187)-IF(AF187="",0,AF187))</f>
        <v/>
      </c>
      <c r="AH187" s="26">
        <f>IFERROR(AG187/U187,"")</f>
        <v/>
      </c>
      <c r="AI187" s="23" t="n"/>
      <c r="AJ187" s="23" t="n"/>
      <c r="AK187" s="23" t="n"/>
      <c r="AL187" s="23" t="n"/>
    </row>
    <row r="188">
      <c r="A188" s="20">
        <f>IF(B188="","","TR-"&amp;TEXT(ROW()-2,"0000"))</f>
        <v/>
      </c>
      <c r="B188" s="43" t="n"/>
      <c r="C188" s="44" t="n"/>
      <c r="D188" s="44" t="n"/>
      <c r="E188" s="29" t="n"/>
      <c r="F188" s="29" t="n"/>
      <c r="G188" s="29" t="n"/>
      <c r="H188" s="29" t="n"/>
      <c r="I188" s="29" t="n"/>
      <c r="J188" s="29" t="n"/>
      <c r="K188" s="29" t="n"/>
      <c r="L188" s="45" t="n"/>
      <c r="M188" s="45" t="n"/>
      <c r="N188" s="45" t="n"/>
      <c r="O188" s="45" t="n"/>
      <c r="P188" s="45" t="n"/>
      <c r="Q188" s="45" t="n"/>
      <c r="R188" s="29" t="n"/>
      <c r="S188" s="29" t="n"/>
      <c r="T188" s="42">
        <f>IF(OR(L188="",M188=""),"",IFERROR(Settings!$B$3*Settings!$B$5,0))</f>
        <v/>
      </c>
      <c r="U188" s="42">
        <f>IF(OR(L188="",M188="",R188=""),"",ABS(L188-M188)*R188*IF(S188="",1,S188))</f>
        <v/>
      </c>
      <c r="V188" s="26">
        <f>IFERROR(ABS(N188-L188)/ABS(L188-M188),"")</f>
        <v/>
      </c>
      <c r="W188" s="29" t="n"/>
      <c r="X188" s="29" t="n"/>
      <c r="Y188" s="29" t="n"/>
      <c r="Z188" s="29" t="n"/>
      <c r="AA188" s="29" t="n"/>
      <c r="AB188" s="29" t="n"/>
      <c r="AC188" s="29" t="n"/>
      <c r="AD188" s="42">
        <f>IF(OR(L188="",Q188="",R188=""),"",IF(H188="Long",(Q188-L188)*R188*IF(S188="",1,S188),(L188-Q188)*R188*IF(S188="",1,S188)))</f>
        <v/>
      </c>
      <c r="AE188" s="45" t="n"/>
      <c r="AF188" s="45" t="n"/>
      <c r="AG188" s="42">
        <f>IF(AD188="","",AD188-IF(AE188="",0,AE188)-IF(AF188="",0,AF188))</f>
        <v/>
      </c>
      <c r="AH188" s="26">
        <f>IFERROR(AG188/U188,"")</f>
        <v/>
      </c>
      <c r="AI188" s="29" t="n"/>
      <c r="AJ188" s="29" t="n"/>
      <c r="AK188" s="29" t="n"/>
      <c r="AL188" s="29" t="n"/>
    </row>
    <row r="189">
      <c r="A189" s="20">
        <f>IF(B189="","","TR-"&amp;TEXT(ROW()-2,"0000"))</f>
        <v/>
      </c>
      <c r="B189" s="39" t="n"/>
      <c r="C189" s="40" t="n"/>
      <c r="D189" s="40" t="n"/>
      <c r="E189" s="23" t="n"/>
      <c r="F189" s="23" t="n"/>
      <c r="G189" s="23" t="n"/>
      <c r="H189" s="23" t="n"/>
      <c r="I189" s="23" t="n"/>
      <c r="J189" s="23" t="n"/>
      <c r="K189" s="23" t="n"/>
      <c r="L189" s="41" t="n"/>
      <c r="M189" s="41" t="n"/>
      <c r="N189" s="41" t="n"/>
      <c r="O189" s="41" t="n"/>
      <c r="P189" s="41" t="n"/>
      <c r="Q189" s="41" t="n"/>
      <c r="R189" s="23" t="n"/>
      <c r="S189" s="23" t="n"/>
      <c r="T189" s="42">
        <f>IF(OR(L189="",M189=""),"",IFERROR(Settings!$B$3*Settings!$B$5,0))</f>
        <v/>
      </c>
      <c r="U189" s="42">
        <f>IF(OR(L189="",M189="",R189=""),"",ABS(L189-M189)*R189*IF(S189="",1,S189))</f>
        <v/>
      </c>
      <c r="V189" s="26">
        <f>IFERROR(ABS(N189-L189)/ABS(L189-M189),"")</f>
        <v/>
      </c>
      <c r="W189" s="23" t="n"/>
      <c r="X189" s="23" t="n"/>
      <c r="Y189" s="23" t="n"/>
      <c r="Z189" s="23" t="n"/>
      <c r="AA189" s="23" t="n"/>
      <c r="AB189" s="23" t="n"/>
      <c r="AC189" s="23" t="n"/>
      <c r="AD189" s="42">
        <f>IF(OR(L189="",Q189="",R189=""),"",IF(H189="Long",(Q189-L189)*R189*IF(S189="",1,S189),(L189-Q189)*R189*IF(S189="",1,S189)))</f>
        <v/>
      </c>
      <c r="AE189" s="41" t="n"/>
      <c r="AF189" s="41" t="n"/>
      <c r="AG189" s="42">
        <f>IF(AD189="","",AD189-IF(AE189="",0,AE189)-IF(AF189="",0,AF189))</f>
        <v/>
      </c>
      <c r="AH189" s="26">
        <f>IFERROR(AG189/U189,"")</f>
        <v/>
      </c>
      <c r="AI189" s="23" t="n"/>
      <c r="AJ189" s="23" t="n"/>
      <c r="AK189" s="23" t="n"/>
      <c r="AL189" s="23" t="n"/>
    </row>
    <row r="190">
      <c r="A190" s="20">
        <f>IF(B190="","","TR-"&amp;TEXT(ROW()-2,"0000"))</f>
        <v/>
      </c>
      <c r="B190" s="43" t="n"/>
      <c r="C190" s="44" t="n"/>
      <c r="D190" s="44" t="n"/>
      <c r="E190" s="29" t="n"/>
      <c r="F190" s="29" t="n"/>
      <c r="G190" s="29" t="n"/>
      <c r="H190" s="29" t="n"/>
      <c r="I190" s="29" t="n"/>
      <c r="J190" s="29" t="n"/>
      <c r="K190" s="29" t="n"/>
      <c r="L190" s="45" t="n"/>
      <c r="M190" s="45" t="n"/>
      <c r="N190" s="45" t="n"/>
      <c r="O190" s="45" t="n"/>
      <c r="P190" s="45" t="n"/>
      <c r="Q190" s="45" t="n"/>
      <c r="R190" s="29" t="n"/>
      <c r="S190" s="29" t="n"/>
      <c r="T190" s="42">
        <f>IF(OR(L190="",M190=""),"",IFERROR(Settings!$B$3*Settings!$B$5,0))</f>
        <v/>
      </c>
      <c r="U190" s="42">
        <f>IF(OR(L190="",M190="",R190=""),"",ABS(L190-M190)*R190*IF(S190="",1,S190))</f>
        <v/>
      </c>
      <c r="V190" s="26">
        <f>IFERROR(ABS(N190-L190)/ABS(L190-M190),"")</f>
        <v/>
      </c>
      <c r="W190" s="29" t="n"/>
      <c r="X190" s="29" t="n"/>
      <c r="Y190" s="29" t="n"/>
      <c r="Z190" s="29" t="n"/>
      <c r="AA190" s="29" t="n"/>
      <c r="AB190" s="29" t="n"/>
      <c r="AC190" s="29" t="n"/>
      <c r="AD190" s="42">
        <f>IF(OR(L190="",Q190="",R190=""),"",IF(H190="Long",(Q190-L190)*R190*IF(S190="",1,S190),(L190-Q190)*R190*IF(S190="",1,S190)))</f>
        <v/>
      </c>
      <c r="AE190" s="45" t="n"/>
      <c r="AF190" s="45" t="n"/>
      <c r="AG190" s="42">
        <f>IF(AD190="","",AD190-IF(AE190="",0,AE190)-IF(AF190="",0,AF190))</f>
        <v/>
      </c>
      <c r="AH190" s="26">
        <f>IFERROR(AG190/U190,"")</f>
        <v/>
      </c>
      <c r="AI190" s="29" t="n"/>
      <c r="AJ190" s="29" t="n"/>
      <c r="AK190" s="29" t="n"/>
      <c r="AL190" s="29" t="n"/>
    </row>
    <row r="191">
      <c r="A191" s="20">
        <f>IF(B191="","","TR-"&amp;TEXT(ROW()-2,"0000"))</f>
        <v/>
      </c>
      <c r="B191" s="39" t="n"/>
      <c r="C191" s="40" t="n"/>
      <c r="D191" s="40" t="n"/>
      <c r="E191" s="23" t="n"/>
      <c r="F191" s="23" t="n"/>
      <c r="G191" s="23" t="n"/>
      <c r="H191" s="23" t="n"/>
      <c r="I191" s="23" t="n"/>
      <c r="J191" s="23" t="n"/>
      <c r="K191" s="23" t="n"/>
      <c r="L191" s="41" t="n"/>
      <c r="M191" s="41" t="n"/>
      <c r="N191" s="41" t="n"/>
      <c r="O191" s="41" t="n"/>
      <c r="P191" s="41" t="n"/>
      <c r="Q191" s="41" t="n"/>
      <c r="R191" s="23" t="n"/>
      <c r="S191" s="23" t="n"/>
      <c r="T191" s="42">
        <f>IF(OR(L191="",M191=""),"",IFERROR(Settings!$B$3*Settings!$B$5,0))</f>
        <v/>
      </c>
      <c r="U191" s="42">
        <f>IF(OR(L191="",M191="",R191=""),"",ABS(L191-M191)*R191*IF(S191="",1,S191))</f>
        <v/>
      </c>
      <c r="V191" s="26">
        <f>IFERROR(ABS(N191-L191)/ABS(L191-M191),"")</f>
        <v/>
      </c>
      <c r="W191" s="23" t="n"/>
      <c r="X191" s="23" t="n"/>
      <c r="Y191" s="23" t="n"/>
      <c r="Z191" s="23" t="n"/>
      <c r="AA191" s="23" t="n"/>
      <c r="AB191" s="23" t="n"/>
      <c r="AC191" s="23" t="n"/>
      <c r="AD191" s="42">
        <f>IF(OR(L191="",Q191="",R191=""),"",IF(H191="Long",(Q191-L191)*R191*IF(S191="",1,S191),(L191-Q191)*R191*IF(S191="",1,S191)))</f>
        <v/>
      </c>
      <c r="AE191" s="41" t="n"/>
      <c r="AF191" s="41" t="n"/>
      <c r="AG191" s="42">
        <f>IF(AD191="","",AD191-IF(AE191="",0,AE191)-IF(AF191="",0,AF191))</f>
        <v/>
      </c>
      <c r="AH191" s="26">
        <f>IFERROR(AG191/U191,"")</f>
        <v/>
      </c>
      <c r="AI191" s="23" t="n"/>
      <c r="AJ191" s="23" t="n"/>
      <c r="AK191" s="23" t="n"/>
      <c r="AL191" s="23" t="n"/>
    </row>
    <row r="192">
      <c r="A192" s="20">
        <f>IF(B192="","","TR-"&amp;TEXT(ROW()-2,"0000"))</f>
        <v/>
      </c>
      <c r="B192" s="43" t="n"/>
      <c r="C192" s="44" t="n"/>
      <c r="D192" s="44" t="n"/>
      <c r="E192" s="29" t="n"/>
      <c r="F192" s="29" t="n"/>
      <c r="G192" s="29" t="n"/>
      <c r="H192" s="29" t="n"/>
      <c r="I192" s="29" t="n"/>
      <c r="J192" s="29" t="n"/>
      <c r="K192" s="29" t="n"/>
      <c r="L192" s="45" t="n"/>
      <c r="M192" s="45" t="n"/>
      <c r="N192" s="45" t="n"/>
      <c r="O192" s="45" t="n"/>
      <c r="P192" s="45" t="n"/>
      <c r="Q192" s="45" t="n"/>
      <c r="R192" s="29" t="n"/>
      <c r="S192" s="29" t="n"/>
      <c r="T192" s="42">
        <f>IF(OR(L192="",M192=""),"",IFERROR(Settings!$B$3*Settings!$B$5,0))</f>
        <v/>
      </c>
      <c r="U192" s="42">
        <f>IF(OR(L192="",M192="",R192=""),"",ABS(L192-M192)*R192*IF(S192="",1,S192))</f>
        <v/>
      </c>
      <c r="V192" s="26">
        <f>IFERROR(ABS(N192-L192)/ABS(L192-M192),"")</f>
        <v/>
      </c>
      <c r="W192" s="29" t="n"/>
      <c r="X192" s="29" t="n"/>
      <c r="Y192" s="29" t="n"/>
      <c r="Z192" s="29" t="n"/>
      <c r="AA192" s="29" t="n"/>
      <c r="AB192" s="29" t="n"/>
      <c r="AC192" s="29" t="n"/>
      <c r="AD192" s="42">
        <f>IF(OR(L192="",Q192="",R192=""),"",IF(H192="Long",(Q192-L192)*R192*IF(S192="",1,S192),(L192-Q192)*R192*IF(S192="",1,S192)))</f>
        <v/>
      </c>
      <c r="AE192" s="45" t="n"/>
      <c r="AF192" s="45" t="n"/>
      <c r="AG192" s="42">
        <f>IF(AD192="","",AD192-IF(AE192="",0,AE192)-IF(AF192="",0,AF192))</f>
        <v/>
      </c>
      <c r="AH192" s="26">
        <f>IFERROR(AG192/U192,"")</f>
        <v/>
      </c>
      <c r="AI192" s="29" t="n"/>
      <c r="AJ192" s="29" t="n"/>
      <c r="AK192" s="29" t="n"/>
      <c r="AL192" s="29" t="n"/>
    </row>
    <row r="193">
      <c r="A193" s="20">
        <f>IF(B193="","","TR-"&amp;TEXT(ROW()-2,"0000"))</f>
        <v/>
      </c>
      <c r="B193" s="39" t="n"/>
      <c r="C193" s="40" t="n"/>
      <c r="D193" s="40" t="n"/>
      <c r="E193" s="23" t="n"/>
      <c r="F193" s="23" t="n"/>
      <c r="G193" s="23" t="n"/>
      <c r="H193" s="23" t="n"/>
      <c r="I193" s="23" t="n"/>
      <c r="J193" s="23" t="n"/>
      <c r="K193" s="23" t="n"/>
      <c r="L193" s="41" t="n"/>
      <c r="M193" s="41" t="n"/>
      <c r="N193" s="41" t="n"/>
      <c r="O193" s="41" t="n"/>
      <c r="P193" s="41" t="n"/>
      <c r="Q193" s="41" t="n"/>
      <c r="R193" s="23" t="n"/>
      <c r="S193" s="23" t="n"/>
      <c r="T193" s="42">
        <f>IF(OR(L193="",M193=""),"",IFERROR(Settings!$B$3*Settings!$B$5,0))</f>
        <v/>
      </c>
      <c r="U193" s="42">
        <f>IF(OR(L193="",M193="",R193=""),"",ABS(L193-M193)*R193*IF(S193="",1,S193))</f>
        <v/>
      </c>
      <c r="V193" s="26">
        <f>IFERROR(ABS(N193-L193)/ABS(L193-M193),"")</f>
        <v/>
      </c>
      <c r="W193" s="23" t="n"/>
      <c r="X193" s="23" t="n"/>
      <c r="Y193" s="23" t="n"/>
      <c r="Z193" s="23" t="n"/>
      <c r="AA193" s="23" t="n"/>
      <c r="AB193" s="23" t="n"/>
      <c r="AC193" s="23" t="n"/>
      <c r="AD193" s="42">
        <f>IF(OR(L193="",Q193="",R193=""),"",IF(H193="Long",(Q193-L193)*R193*IF(S193="",1,S193),(L193-Q193)*R193*IF(S193="",1,S193)))</f>
        <v/>
      </c>
      <c r="AE193" s="41" t="n"/>
      <c r="AF193" s="41" t="n"/>
      <c r="AG193" s="42">
        <f>IF(AD193="","",AD193-IF(AE193="",0,AE193)-IF(AF193="",0,AF193))</f>
        <v/>
      </c>
      <c r="AH193" s="26">
        <f>IFERROR(AG193/U193,"")</f>
        <v/>
      </c>
      <c r="AI193" s="23" t="n"/>
      <c r="AJ193" s="23" t="n"/>
      <c r="AK193" s="23" t="n"/>
      <c r="AL193" s="23" t="n"/>
    </row>
    <row r="194">
      <c r="A194" s="20">
        <f>IF(B194="","","TR-"&amp;TEXT(ROW()-2,"0000"))</f>
        <v/>
      </c>
      <c r="B194" s="43" t="n"/>
      <c r="C194" s="44" t="n"/>
      <c r="D194" s="44" t="n"/>
      <c r="E194" s="29" t="n"/>
      <c r="F194" s="29" t="n"/>
      <c r="G194" s="29" t="n"/>
      <c r="H194" s="29" t="n"/>
      <c r="I194" s="29" t="n"/>
      <c r="J194" s="29" t="n"/>
      <c r="K194" s="29" t="n"/>
      <c r="L194" s="45" t="n"/>
      <c r="M194" s="45" t="n"/>
      <c r="N194" s="45" t="n"/>
      <c r="O194" s="45" t="n"/>
      <c r="P194" s="45" t="n"/>
      <c r="Q194" s="45" t="n"/>
      <c r="R194" s="29" t="n"/>
      <c r="S194" s="29" t="n"/>
      <c r="T194" s="42">
        <f>IF(OR(L194="",M194=""),"",IFERROR(Settings!$B$3*Settings!$B$5,0))</f>
        <v/>
      </c>
      <c r="U194" s="42">
        <f>IF(OR(L194="",M194="",R194=""),"",ABS(L194-M194)*R194*IF(S194="",1,S194))</f>
        <v/>
      </c>
      <c r="V194" s="26">
        <f>IFERROR(ABS(N194-L194)/ABS(L194-M194),"")</f>
        <v/>
      </c>
      <c r="W194" s="29" t="n"/>
      <c r="X194" s="29" t="n"/>
      <c r="Y194" s="29" t="n"/>
      <c r="Z194" s="29" t="n"/>
      <c r="AA194" s="29" t="n"/>
      <c r="AB194" s="29" t="n"/>
      <c r="AC194" s="29" t="n"/>
      <c r="AD194" s="42">
        <f>IF(OR(L194="",Q194="",R194=""),"",IF(H194="Long",(Q194-L194)*R194*IF(S194="",1,S194),(L194-Q194)*R194*IF(S194="",1,S194)))</f>
        <v/>
      </c>
      <c r="AE194" s="45" t="n"/>
      <c r="AF194" s="45" t="n"/>
      <c r="AG194" s="42">
        <f>IF(AD194="","",AD194-IF(AE194="",0,AE194)-IF(AF194="",0,AF194))</f>
        <v/>
      </c>
      <c r="AH194" s="26">
        <f>IFERROR(AG194/U194,"")</f>
        <v/>
      </c>
      <c r="AI194" s="29" t="n"/>
      <c r="AJ194" s="29" t="n"/>
      <c r="AK194" s="29" t="n"/>
      <c r="AL194" s="29" t="n"/>
    </row>
    <row r="195">
      <c r="A195" s="20">
        <f>IF(B195="","","TR-"&amp;TEXT(ROW()-2,"0000"))</f>
        <v/>
      </c>
      <c r="B195" s="39" t="n"/>
      <c r="C195" s="40" t="n"/>
      <c r="D195" s="40" t="n"/>
      <c r="E195" s="23" t="n"/>
      <c r="F195" s="23" t="n"/>
      <c r="G195" s="23" t="n"/>
      <c r="H195" s="23" t="n"/>
      <c r="I195" s="23" t="n"/>
      <c r="J195" s="23" t="n"/>
      <c r="K195" s="23" t="n"/>
      <c r="L195" s="41" t="n"/>
      <c r="M195" s="41" t="n"/>
      <c r="N195" s="41" t="n"/>
      <c r="O195" s="41" t="n"/>
      <c r="P195" s="41" t="n"/>
      <c r="Q195" s="41" t="n"/>
      <c r="R195" s="23" t="n"/>
      <c r="S195" s="23" t="n"/>
      <c r="T195" s="42">
        <f>IF(OR(L195="",M195=""),"",IFERROR(Settings!$B$3*Settings!$B$5,0))</f>
        <v/>
      </c>
      <c r="U195" s="42">
        <f>IF(OR(L195="",M195="",R195=""),"",ABS(L195-M195)*R195*IF(S195="",1,S195))</f>
        <v/>
      </c>
      <c r="V195" s="26">
        <f>IFERROR(ABS(N195-L195)/ABS(L195-M195),"")</f>
        <v/>
      </c>
      <c r="W195" s="23" t="n"/>
      <c r="X195" s="23" t="n"/>
      <c r="Y195" s="23" t="n"/>
      <c r="Z195" s="23" t="n"/>
      <c r="AA195" s="23" t="n"/>
      <c r="AB195" s="23" t="n"/>
      <c r="AC195" s="23" t="n"/>
      <c r="AD195" s="42">
        <f>IF(OR(L195="",Q195="",R195=""),"",IF(H195="Long",(Q195-L195)*R195*IF(S195="",1,S195),(L195-Q195)*R195*IF(S195="",1,S195)))</f>
        <v/>
      </c>
      <c r="AE195" s="41" t="n"/>
      <c r="AF195" s="41" t="n"/>
      <c r="AG195" s="42">
        <f>IF(AD195="","",AD195-IF(AE195="",0,AE195)-IF(AF195="",0,AF195))</f>
        <v/>
      </c>
      <c r="AH195" s="26">
        <f>IFERROR(AG195/U195,"")</f>
        <v/>
      </c>
      <c r="AI195" s="23" t="n"/>
      <c r="AJ195" s="23" t="n"/>
      <c r="AK195" s="23" t="n"/>
      <c r="AL195" s="23" t="n"/>
    </row>
    <row r="196">
      <c r="A196" s="20">
        <f>IF(B196="","","TR-"&amp;TEXT(ROW()-2,"0000"))</f>
        <v/>
      </c>
      <c r="B196" s="43" t="n"/>
      <c r="C196" s="44" t="n"/>
      <c r="D196" s="44" t="n"/>
      <c r="E196" s="29" t="n"/>
      <c r="F196" s="29" t="n"/>
      <c r="G196" s="29" t="n"/>
      <c r="H196" s="29" t="n"/>
      <c r="I196" s="29" t="n"/>
      <c r="J196" s="29" t="n"/>
      <c r="K196" s="29" t="n"/>
      <c r="L196" s="45" t="n"/>
      <c r="M196" s="45" t="n"/>
      <c r="N196" s="45" t="n"/>
      <c r="O196" s="45" t="n"/>
      <c r="P196" s="45" t="n"/>
      <c r="Q196" s="45" t="n"/>
      <c r="R196" s="29" t="n"/>
      <c r="S196" s="29" t="n"/>
      <c r="T196" s="42">
        <f>IF(OR(L196="",M196=""),"",IFERROR(Settings!$B$3*Settings!$B$5,0))</f>
        <v/>
      </c>
      <c r="U196" s="42">
        <f>IF(OR(L196="",M196="",R196=""),"",ABS(L196-M196)*R196*IF(S196="",1,S196))</f>
        <v/>
      </c>
      <c r="V196" s="26">
        <f>IFERROR(ABS(N196-L196)/ABS(L196-M196),"")</f>
        <v/>
      </c>
      <c r="W196" s="29" t="n"/>
      <c r="X196" s="29" t="n"/>
      <c r="Y196" s="29" t="n"/>
      <c r="Z196" s="29" t="n"/>
      <c r="AA196" s="29" t="n"/>
      <c r="AB196" s="29" t="n"/>
      <c r="AC196" s="29" t="n"/>
      <c r="AD196" s="42">
        <f>IF(OR(L196="",Q196="",R196=""),"",IF(H196="Long",(Q196-L196)*R196*IF(S196="",1,S196),(L196-Q196)*R196*IF(S196="",1,S196)))</f>
        <v/>
      </c>
      <c r="AE196" s="45" t="n"/>
      <c r="AF196" s="45" t="n"/>
      <c r="AG196" s="42">
        <f>IF(AD196="","",AD196-IF(AE196="",0,AE196)-IF(AF196="",0,AF196))</f>
        <v/>
      </c>
      <c r="AH196" s="26">
        <f>IFERROR(AG196/U196,"")</f>
        <v/>
      </c>
      <c r="AI196" s="29" t="n"/>
      <c r="AJ196" s="29" t="n"/>
      <c r="AK196" s="29" t="n"/>
      <c r="AL196" s="29" t="n"/>
    </row>
    <row r="197">
      <c r="A197" s="20">
        <f>IF(B197="","","TR-"&amp;TEXT(ROW()-2,"0000"))</f>
        <v/>
      </c>
      <c r="B197" s="39" t="n"/>
      <c r="C197" s="40" t="n"/>
      <c r="D197" s="40" t="n"/>
      <c r="E197" s="23" t="n"/>
      <c r="F197" s="23" t="n"/>
      <c r="G197" s="23" t="n"/>
      <c r="H197" s="23" t="n"/>
      <c r="I197" s="23" t="n"/>
      <c r="J197" s="23" t="n"/>
      <c r="K197" s="23" t="n"/>
      <c r="L197" s="41" t="n"/>
      <c r="M197" s="41" t="n"/>
      <c r="N197" s="41" t="n"/>
      <c r="O197" s="41" t="n"/>
      <c r="P197" s="41" t="n"/>
      <c r="Q197" s="41" t="n"/>
      <c r="R197" s="23" t="n"/>
      <c r="S197" s="23" t="n"/>
      <c r="T197" s="42">
        <f>IF(OR(L197="",M197=""),"",IFERROR(Settings!$B$3*Settings!$B$5,0))</f>
        <v/>
      </c>
      <c r="U197" s="42">
        <f>IF(OR(L197="",M197="",R197=""),"",ABS(L197-M197)*R197*IF(S197="",1,S197))</f>
        <v/>
      </c>
      <c r="V197" s="26">
        <f>IFERROR(ABS(N197-L197)/ABS(L197-M197),"")</f>
        <v/>
      </c>
      <c r="W197" s="23" t="n"/>
      <c r="X197" s="23" t="n"/>
      <c r="Y197" s="23" t="n"/>
      <c r="Z197" s="23" t="n"/>
      <c r="AA197" s="23" t="n"/>
      <c r="AB197" s="23" t="n"/>
      <c r="AC197" s="23" t="n"/>
      <c r="AD197" s="42">
        <f>IF(OR(L197="",Q197="",R197=""),"",IF(H197="Long",(Q197-L197)*R197*IF(S197="",1,S197),(L197-Q197)*R197*IF(S197="",1,S197)))</f>
        <v/>
      </c>
      <c r="AE197" s="41" t="n"/>
      <c r="AF197" s="41" t="n"/>
      <c r="AG197" s="42">
        <f>IF(AD197="","",AD197-IF(AE197="",0,AE197)-IF(AF197="",0,AF197))</f>
        <v/>
      </c>
      <c r="AH197" s="26">
        <f>IFERROR(AG197/U197,"")</f>
        <v/>
      </c>
      <c r="AI197" s="23" t="n"/>
      <c r="AJ197" s="23" t="n"/>
      <c r="AK197" s="23" t="n"/>
      <c r="AL197" s="23" t="n"/>
    </row>
    <row r="198">
      <c r="A198" s="20">
        <f>IF(B198="","","TR-"&amp;TEXT(ROW()-2,"0000"))</f>
        <v/>
      </c>
      <c r="B198" s="43" t="n"/>
      <c r="C198" s="44" t="n"/>
      <c r="D198" s="44" t="n"/>
      <c r="E198" s="29" t="n"/>
      <c r="F198" s="29" t="n"/>
      <c r="G198" s="29" t="n"/>
      <c r="H198" s="29" t="n"/>
      <c r="I198" s="29" t="n"/>
      <c r="J198" s="29" t="n"/>
      <c r="K198" s="29" t="n"/>
      <c r="L198" s="45" t="n"/>
      <c r="M198" s="45" t="n"/>
      <c r="N198" s="45" t="n"/>
      <c r="O198" s="45" t="n"/>
      <c r="P198" s="45" t="n"/>
      <c r="Q198" s="45" t="n"/>
      <c r="R198" s="29" t="n"/>
      <c r="S198" s="29" t="n"/>
      <c r="T198" s="42">
        <f>IF(OR(L198="",M198=""),"",IFERROR(Settings!$B$3*Settings!$B$5,0))</f>
        <v/>
      </c>
      <c r="U198" s="42">
        <f>IF(OR(L198="",M198="",R198=""),"",ABS(L198-M198)*R198*IF(S198="",1,S198))</f>
        <v/>
      </c>
      <c r="V198" s="26">
        <f>IFERROR(ABS(N198-L198)/ABS(L198-M198),"")</f>
        <v/>
      </c>
      <c r="W198" s="29" t="n"/>
      <c r="X198" s="29" t="n"/>
      <c r="Y198" s="29" t="n"/>
      <c r="Z198" s="29" t="n"/>
      <c r="AA198" s="29" t="n"/>
      <c r="AB198" s="29" t="n"/>
      <c r="AC198" s="29" t="n"/>
      <c r="AD198" s="42">
        <f>IF(OR(L198="",Q198="",R198=""),"",IF(H198="Long",(Q198-L198)*R198*IF(S198="",1,S198),(L198-Q198)*R198*IF(S198="",1,S198)))</f>
        <v/>
      </c>
      <c r="AE198" s="45" t="n"/>
      <c r="AF198" s="45" t="n"/>
      <c r="AG198" s="42">
        <f>IF(AD198="","",AD198-IF(AE198="",0,AE198)-IF(AF198="",0,AF198))</f>
        <v/>
      </c>
      <c r="AH198" s="26">
        <f>IFERROR(AG198/U198,"")</f>
        <v/>
      </c>
      <c r="AI198" s="29" t="n"/>
      <c r="AJ198" s="29" t="n"/>
      <c r="AK198" s="29" t="n"/>
      <c r="AL198" s="29" t="n"/>
    </row>
    <row r="199">
      <c r="A199" s="20">
        <f>IF(B199="","","TR-"&amp;TEXT(ROW()-2,"0000"))</f>
        <v/>
      </c>
      <c r="B199" s="39" t="n"/>
      <c r="C199" s="40" t="n"/>
      <c r="D199" s="40" t="n"/>
      <c r="E199" s="23" t="n"/>
      <c r="F199" s="23" t="n"/>
      <c r="G199" s="23" t="n"/>
      <c r="H199" s="23" t="n"/>
      <c r="I199" s="23" t="n"/>
      <c r="J199" s="23" t="n"/>
      <c r="K199" s="23" t="n"/>
      <c r="L199" s="41" t="n"/>
      <c r="M199" s="41" t="n"/>
      <c r="N199" s="41" t="n"/>
      <c r="O199" s="41" t="n"/>
      <c r="P199" s="41" t="n"/>
      <c r="Q199" s="41" t="n"/>
      <c r="R199" s="23" t="n"/>
      <c r="S199" s="23" t="n"/>
      <c r="T199" s="42">
        <f>IF(OR(L199="",M199=""),"",IFERROR(Settings!$B$3*Settings!$B$5,0))</f>
        <v/>
      </c>
      <c r="U199" s="42">
        <f>IF(OR(L199="",M199="",R199=""),"",ABS(L199-M199)*R199*IF(S199="",1,S199))</f>
        <v/>
      </c>
      <c r="V199" s="26">
        <f>IFERROR(ABS(N199-L199)/ABS(L199-M199),"")</f>
        <v/>
      </c>
      <c r="W199" s="23" t="n"/>
      <c r="X199" s="23" t="n"/>
      <c r="Y199" s="23" t="n"/>
      <c r="Z199" s="23" t="n"/>
      <c r="AA199" s="23" t="n"/>
      <c r="AB199" s="23" t="n"/>
      <c r="AC199" s="23" t="n"/>
      <c r="AD199" s="42">
        <f>IF(OR(L199="",Q199="",R199=""),"",IF(H199="Long",(Q199-L199)*R199*IF(S199="",1,S199),(L199-Q199)*R199*IF(S199="",1,S199)))</f>
        <v/>
      </c>
      <c r="AE199" s="41" t="n"/>
      <c r="AF199" s="41" t="n"/>
      <c r="AG199" s="42">
        <f>IF(AD199="","",AD199-IF(AE199="",0,AE199)-IF(AF199="",0,AF199))</f>
        <v/>
      </c>
      <c r="AH199" s="26">
        <f>IFERROR(AG199/U199,"")</f>
        <v/>
      </c>
      <c r="AI199" s="23" t="n"/>
      <c r="AJ199" s="23" t="n"/>
      <c r="AK199" s="23" t="n"/>
      <c r="AL199" s="23" t="n"/>
    </row>
    <row r="200">
      <c r="A200" s="20">
        <f>IF(B200="","","TR-"&amp;TEXT(ROW()-2,"0000"))</f>
        <v/>
      </c>
      <c r="B200" s="43" t="n"/>
      <c r="C200" s="44" t="n"/>
      <c r="D200" s="44" t="n"/>
      <c r="E200" s="29" t="n"/>
      <c r="F200" s="29" t="n"/>
      <c r="G200" s="29" t="n"/>
      <c r="H200" s="29" t="n"/>
      <c r="I200" s="29" t="n"/>
      <c r="J200" s="29" t="n"/>
      <c r="K200" s="29" t="n"/>
      <c r="L200" s="45" t="n"/>
      <c r="M200" s="45" t="n"/>
      <c r="N200" s="45" t="n"/>
      <c r="O200" s="45" t="n"/>
      <c r="P200" s="45" t="n"/>
      <c r="Q200" s="45" t="n"/>
      <c r="R200" s="29" t="n"/>
      <c r="S200" s="29" t="n"/>
      <c r="T200" s="42">
        <f>IF(OR(L200="",M200=""),"",IFERROR(Settings!$B$3*Settings!$B$5,0))</f>
        <v/>
      </c>
      <c r="U200" s="42">
        <f>IF(OR(L200="",M200="",R200=""),"",ABS(L200-M200)*R200*IF(S200="",1,S200))</f>
        <v/>
      </c>
      <c r="V200" s="26">
        <f>IFERROR(ABS(N200-L200)/ABS(L200-M200),"")</f>
        <v/>
      </c>
      <c r="W200" s="29" t="n"/>
      <c r="X200" s="29" t="n"/>
      <c r="Y200" s="29" t="n"/>
      <c r="Z200" s="29" t="n"/>
      <c r="AA200" s="29" t="n"/>
      <c r="AB200" s="29" t="n"/>
      <c r="AC200" s="29" t="n"/>
      <c r="AD200" s="42">
        <f>IF(OR(L200="",Q200="",R200=""),"",IF(H200="Long",(Q200-L200)*R200*IF(S200="",1,S200),(L200-Q200)*R200*IF(S200="",1,S200)))</f>
        <v/>
      </c>
      <c r="AE200" s="45" t="n"/>
      <c r="AF200" s="45" t="n"/>
      <c r="AG200" s="42">
        <f>IF(AD200="","",AD200-IF(AE200="",0,AE200)-IF(AF200="",0,AF200))</f>
        <v/>
      </c>
      <c r="AH200" s="26">
        <f>IFERROR(AG200/U200,"")</f>
        <v/>
      </c>
      <c r="AI200" s="29" t="n"/>
      <c r="AJ200" s="29" t="n"/>
      <c r="AK200" s="29" t="n"/>
      <c r="AL200" s="29" t="n"/>
    </row>
    <row r="201">
      <c r="A201" s="20">
        <f>IF(B201="","","TR-"&amp;TEXT(ROW()-2,"0000"))</f>
        <v/>
      </c>
      <c r="B201" s="39" t="n"/>
      <c r="C201" s="40" t="n"/>
      <c r="D201" s="40" t="n"/>
      <c r="E201" s="23" t="n"/>
      <c r="F201" s="23" t="n"/>
      <c r="G201" s="23" t="n"/>
      <c r="H201" s="23" t="n"/>
      <c r="I201" s="23" t="n"/>
      <c r="J201" s="23" t="n"/>
      <c r="K201" s="23" t="n"/>
      <c r="L201" s="41" t="n"/>
      <c r="M201" s="41" t="n"/>
      <c r="N201" s="41" t="n"/>
      <c r="O201" s="41" t="n"/>
      <c r="P201" s="41" t="n"/>
      <c r="Q201" s="41" t="n"/>
      <c r="R201" s="23" t="n"/>
      <c r="S201" s="23" t="n"/>
      <c r="T201" s="42">
        <f>IF(OR(L201="",M201=""),"",IFERROR(Settings!$B$3*Settings!$B$5,0))</f>
        <v/>
      </c>
      <c r="U201" s="42">
        <f>IF(OR(L201="",M201="",R201=""),"",ABS(L201-M201)*R201*IF(S201="",1,S201))</f>
        <v/>
      </c>
      <c r="V201" s="26">
        <f>IFERROR(ABS(N201-L201)/ABS(L201-M201),"")</f>
        <v/>
      </c>
      <c r="W201" s="23" t="n"/>
      <c r="X201" s="23" t="n"/>
      <c r="Y201" s="23" t="n"/>
      <c r="Z201" s="23" t="n"/>
      <c r="AA201" s="23" t="n"/>
      <c r="AB201" s="23" t="n"/>
      <c r="AC201" s="23" t="n"/>
      <c r="AD201" s="42">
        <f>IF(OR(L201="",Q201="",R201=""),"",IF(H201="Long",(Q201-L201)*R201*IF(S201="",1,S201),(L201-Q201)*R201*IF(S201="",1,S201)))</f>
        <v/>
      </c>
      <c r="AE201" s="41" t="n"/>
      <c r="AF201" s="41" t="n"/>
      <c r="AG201" s="42">
        <f>IF(AD201="","",AD201-IF(AE201="",0,AE201)-IF(AF201="",0,AF201))</f>
        <v/>
      </c>
      <c r="AH201" s="26">
        <f>IFERROR(AG201/U201,"")</f>
        <v/>
      </c>
      <c r="AI201" s="23" t="n"/>
      <c r="AJ201" s="23" t="n"/>
      <c r="AK201" s="23" t="n"/>
      <c r="AL201" s="23" t="n"/>
    </row>
    <row r="202">
      <c r="A202" s="20">
        <f>IF(B202="","","TR-"&amp;TEXT(ROW()-2,"0000"))</f>
        <v/>
      </c>
      <c r="B202" s="43" t="n"/>
      <c r="C202" s="44" t="n"/>
      <c r="D202" s="44" t="n"/>
      <c r="E202" s="29" t="n"/>
      <c r="F202" s="29" t="n"/>
      <c r="G202" s="29" t="n"/>
      <c r="H202" s="29" t="n"/>
      <c r="I202" s="29" t="n"/>
      <c r="J202" s="29" t="n"/>
      <c r="K202" s="29" t="n"/>
      <c r="L202" s="45" t="n"/>
      <c r="M202" s="45" t="n"/>
      <c r="N202" s="45" t="n"/>
      <c r="O202" s="45" t="n"/>
      <c r="P202" s="45" t="n"/>
      <c r="Q202" s="45" t="n"/>
      <c r="R202" s="29" t="n"/>
      <c r="S202" s="29" t="n"/>
      <c r="T202" s="42">
        <f>IF(OR(L202="",M202=""),"",IFERROR(Settings!$B$3*Settings!$B$5,0))</f>
        <v/>
      </c>
      <c r="U202" s="42">
        <f>IF(OR(L202="",M202="",R202=""),"",ABS(L202-M202)*R202*IF(S202="",1,S202))</f>
        <v/>
      </c>
      <c r="V202" s="26">
        <f>IFERROR(ABS(N202-L202)/ABS(L202-M202),"")</f>
        <v/>
      </c>
      <c r="W202" s="29" t="n"/>
      <c r="X202" s="29" t="n"/>
      <c r="Y202" s="29" t="n"/>
      <c r="Z202" s="29" t="n"/>
      <c r="AA202" s="29" t="n"/>
      <c r="AB202" s="29" t="n"/>
      <c r="AC202" s="29" t="n"/>
      <c r="AD202" s="42">
        <f>IF(OR(L202="",Q202="",R202=""),"",IF(H202="Long",(Q202-L202)*R202*IF(S202="",1,S202),(L202-Q202)*R202*IF(S202="",1,S202)))</f>
        <v/>
      </c>
      <c r="AE202" s="45" t="n"/>
      <c r="AF202" s="45" t="n"/>
      <c r="AG202" s="42">
        <f>IF(AD202="","",AD202-IF(AE202="",0,AE202)-IF(AF202="",0,AF202))</f>
        <v/>
      </c>
      <c r="AH202" s="26">
        <f>IFERROR(AG202/U202,"")</f>
        <v/>
      </c>
      <c r="AI202" s="29" t="n"/>
      <c r="AJ202" s="29" t="n"/>
      <c r="AK202" s="29" t="n"/>
      <c r="AL202" s="29" t="n"/>
    </row>
    <row r="203">
      <c r="A203" s="20">
        <f>IF(B203="","","TR-"&amp;TEXT(ROW()-2,"0000"))</f>
        <v/>
      </c>
      <c r="B203" s="39" t="n"/>
      <c r="C203" s="40" t="n"/>
      <c r="D203" s="40" t="n"/>
      <c r="E203" s="23" t="n"/>
      <c r="F203" s="23" t="n"/>
      <c r="G203" s="23" t="n"/>
      <c r="H203" s="23" t="n"/>
      <c r="I203" s="23" t="n"/>
      <c r="J203" s="23" t="n"/>
      <c r="K203" s="23" t="n"/>
      <c r="L203" s="41" t="n"/>
      <c r="M203" s="41" t="n"/>
      <c r="N203" s="41" t="n"/>
      <c r="O203" s="41" t="n"/>
      <c r="P203" s="41" t="n"/>
      <c r="Q203" s="41" t="n"/>
      <c r="R203" s="23" t="n"/>
      <c r="S203" s="23" t="n"/>
      <c r="T203" s="42">
        <f>IF(OR(L203="",M203=""),"",IFERROR(Settings!$B$3*Settings!$B$5,0))</f>
        <v/>
      </c>
      <c r="U203" s="42">
        <f>IF(OR(L203="",M203="",R203=""),"",ABS(L203-M203)*R203*IF(S203="",1,S203))</f>
        <v/>
      </c>
      <c r="V203" s="26">
        <f>IFERROR(ABS(N203-L203)/ABS(L203-M203),"")</f>
        <v/>
      </c>
      <c r="W203" s="23" t="n"/>
      <c r="X203" s="23" t="n"/>
      <c r="Y203" s="23" t="n"/>
      <c r="Z203" s="23" t="n"/>
      <c r="AA203" s="23" t="n"/>
      <c r="AB203" s="23" t="n"/>
      <c r="AC203" s="23" t="n"/>
      <c r="AD203" s="42">
        <f>IF(OR(L203="",Q203="",R203=""),"",IF(H203="Long",(Q203-L203)*R203*IF(S203="",1,S203),(L203-Q203)*R203*IF(S203="",1,S203)))</f>
        <v/>
      </c>
      <c r="AE203" s="41" t="n"/>
      <c r="AF203" s="41" t="n"/>
      <c r="AG203" s="42">
        <f>IF(AD203="","",AD203-IF(AE203="",0,AE203)-IF(AF203="",0,AF203))</f>
        <v/>
      </c>
      <c r="AH203" s="26">
        <f>IFERROR(AG203/U203,"")</f>
        <v/>
      </c>
      <c r="AI203" s="23" t="n"/>
      <c r="AJ203" s="23" t="n"/>
      <c r="AK203" s="23" t="n"/>
      <c r="AL203" s="23" t="n"/>
    </row>
    <row r="204">
      <c r="A204" s="20">
        <f>IF(B204="","","TR-"&amp;TEXT(ROW()-2,"0000"))</f>
        <v/>
      </c>
      <c r="B204" s="43" t="n"/>
      <c r="C204" s="44" t="n"/>
      <c r="D204" s="44" t="n"/>
      <c r="E204" s="29" t="n"/>
      <c r="F204" s="29" t="n"/>
      <c r="G204" s="29" t="n"/>
      <c r="H204" s="29" t="n"/>
      <c r="I204" s="29" t="n"/>
      <c r="J204" s="29" t="n"/>
      <c r="K204" s="29" t="n"/>
      <c r="L204" s="45" t="n"/>
      <c r="M204" s="45" t="n"/>
      <c r="N204" s="45" t="n"/>
      <c r="O204" s="45" t="n"/>
      <c r="P204" s="45" t="n"/>
      <c r="Q204" s="45" t="n"/>
      <c r="R204" s="29" t="n"/>
      <c r="S204" s="29" t="n"/>
      <c r="T204" s="42">
        <f>IF(OR(L204="",M204=""),"",IFERROR(Settings!$B$3*Settings!$B$5,0))</f>
        <v/>
      </c>
      <c r="U204" s="42">
        <f>IF(OR(L204="",M204="",R204=""),"",ABS(L204-M204)*R204*IF(S204="",1,S204))</f>
        <v/>
      </c>
      <c r="V204" s="26">
        <f>IFERROR(ABS(N204-L204)/ABS(L204-M204),"")</f>
        <v/>
      </c>
      <c r="W204" s="29" t="n"/>
      <c r="X204" s="29" t="n"/>
      <c r="Y204" s="29" t="n"/>
      <c r="Z204" s="29" t="n"/>
      <c r="AA204" s="29" t="n"/>
      <c r="AB204" s="29" t="n"/>
      <c r="AC204" s="29" t="n"/>
      <c r="AD204" s="42">
        <f>IF(OR(L204="",Q204="",R204=""),"",IF(H204="Long",(Q204-L204)*R204*IF(S204="",1,S204),(L204-Q204)*R204*IF(S204="",1,S204)))</f>
        <v/>
      </c>
      <c r="AE204" s="45" t="n"/>
      <c r="AF204" s="45" t="n"/>
      <c r="AG204" s="42">
        <f>IF(AD204="","",AD204-IF(AE204="",0,AE204)-IF(AF204="",0,AF204))</f>
        <v/>
      </c>
      <c r="AH204" s="26">
        <f>IFERROR(AG204/U204,"")</f>
        <v/>
      </c>
      <c r="AI204" s="29" t="n"/>
      <c r="AJ204" s="29" t="n"/>
      <c r="AK204" s="29" t="n"/>
      <c r="AL204" s="29" t="n"/>
    </row>
    <row r="205">
      <c r="A205" s="20">
        <f>IF(B205="","","TR-"&amp;TEXT(ROW()-2,"0000"))</f>
        <v/>
      </c>
      <c r="B205" s="39" t="n"/>
      <c r="C205" s="40" t="n"/>
      <c r="D205" s="40" t="n"/>
      <c r="E205" s="23" t="n"/>
      <c r="F205" s="23" t="n"/>
      <c r="G205" s="23" t="n"/>
      <c r="H205" s="23" t="n"/>
      <c r="I205" s="23" t="n"/>
      <c r="J205" s="23" t="n"/>
      <c r="K205" s="23" t="n"/>
      <c r="L205" s="41" t="n"/>
      <c r="M205" s="41" t="n"/>
      <c r="N205" s="41" t="n"/>
      <c r="O205" s="41" t="n"/>
      <c r="P205" s="41" t="n"/>
      <c r="Q205" s="41" t="n"/>
      <c r="R205" s="23" t="n"/>
      <c r="S205" s="23" t="n"/>
      <c r="T205" s="42">
        <f>IF(OR(L205="",M205=""),"",IFERROR(Settings!$B$3*Settings!$B$5,0))</f>
        <v/>
      </c>
      <c r="U205" s="42">
        <f>IF(OR(L205="",M205="",R205=""),"",ABS(L205-M205)*R205*IF(S205="",1,S205))</f>
        <v/>
      </c>
      <c r="V205" s="26">
        <f>IFERROR(ABS(N205-L205)/ABS(L205-M205),"")</f>
        <v/>
      </c>
      <c r="W205" s="23" t="n"/>
      <c r="X205" s="23" t="n"/>
      <c r="Y205" s="23" t="n"/>
      <c r="Z205" s="23" t="n"/>
      <c r="AA205" s="23" t="n"/>
      <c r="AB205" s="23" t="n"/>
      <c r="AC205" s="23" t="n"/>
      <c r="AD205" s="42">
        <f>IF(OR(L205="",Q205="",R205=""),"",IF(H205="Long",(Q205-L205)*R205*IF(S205="",1,S205),(L205-Q205)*R205*IF(S205="",1,S205)))</f>
        <v/>
      </c>
      <c r="AE205" s="41" t="n"/>
      <c r="AF205" s="41" t="n"/>
      <c r="AG205" s="42">
        <f>IF(AD205="","",AD205-IF(AE205="",0,AE205)-IF(AF205="",0,AF205))</f>
        <v/>
      </c>
      <c r="AH205" s="26">
        <f>IFERROR(AG205/U205,"")</f>
        <v/>
      </c>
      <c r="AI205" s="23" t="n"/>
      <c r="AJ205" s="23" t="n"/>
      <c r="AK205" s="23" t="n"/>
      <c r="AL205" s="23" t="n"/>
    </row>
    <row r="206">
      <c r="A206" s="20">
        <f>IF(B206="","","TR-"&amp;TEXT(ROW()-2,"0000"))</f>
        <v/>
      </c>
      <c r="B206" s="43" t="n"/>
      <c r="C206" s="44" t="n"/>
      <c r="D206" s="44" t="n"/>
      <c r="E206" s="29" t="n"/>
      <c r="F206" s="29" t="n"/>
      <c r="G206" s="29" t="n"/>
      <c r="H206" s="29" t="n"/>
      <c r="I206" s="29" t="n"/>
      <c r="J206" s="29" t="n"/>
      <c r="K206" s="29" t="n"/>
      <c r="L206" s="45" t="n"/>
      <c r="M206" s="45" t="n"/>
      <c r="N206" s="45" t="n"/>
      <c r="O206" s="45" t="n"/>
      <c r="P206" s="45" t="n"/>
      <c r="Q206" s="45" t="n"/>
      <c r="R206" s="29" t="n"/>
      <c r="S206" s="29" t="n"/>
      <c r="T206" s="42">
        <f>IF(OR(L206="",M206=""),"",IFERROR(Settings!$B$3*Settings!$B$5,0))</f>
        <v/>
      </c>
      <c r="U206" s="42">
        <f>IF(OR(L206="",M206="",R206=""),"",ABS(L206-M206)*R206*IF(S206="",1,S206))</f>
        <v/>
      </c>
      <c r="V206" s="26">
        <f>IFERROR(ABS(N206-L206)/ABS(L206-M206),"")</f>
        <v/>
      </c>
      <c r="W206" s="29" t="n"/>
      <c r="X206" s="29" t="n"/>
      <c r="Y206" s="29" t="n"/>
      <c r="Z206" s="29" t="n"/>
      <c r="AA206" s="29" t="n"/>
      <c r="AB206" s="29" t="n"/>
      <c r="AC206" s="29" t="n"/>
      <c r="AD206" s="42">
        <f>IF(OR(L206="",Q206="",R206=""),"",IF(H206="Long",(Q206-L206)*R206*IF(S206="",1,S206),(L206-Q206)*R206*IF(S206="",1,S206)))</f>
        <v/>
      </c>
      <c r="AE206" s="45" t="n"/>
      <c r="AF206" s="45" t="n"/>
      <c r="AG206" s="42">
        <f>IF(AD206="","",AD206-IF(AE206="",0,AE206)-IF(AF206="",0,AF206))</f>
        <v/>
      </c>
      <c r="AH206" s="26">
        <f>IFERROR(AG206/U206,"")</f>
        <v/>
      </c>
      <c r="AI206" s="29" t="n"/>
      <c r="AJ206" s="29" t="n"/>
      <c r="AK206" s="29" t="n"/>
      <c r="AL206" s="29" t="n"/>
    </row>
    <row r="207">
      <c r="A207" s="20">
        <f>IF(B207="","","TR-"&amp;TEXT(ROW()-2,"0000"))</f>
        <v/>
      </c>
      <c r="B207" s="39" t="n"/>
      <c r="C207" s="40" t="n"/>
      <c r="D207" s="40" t="n"/>
      <c r="E207" s="23" t="n"/>
      <c r="F207" s="23" t="n"/>
      <c r="G207" s="23" t="n"/>
      <c r="H207" s="23" t="n"/>
      <c r="I207" s="23" t="n"/>
      <c r="J207" s="23" t="n"/>
      <c r="K207" s="23" t="n"/>
      <c r="L207" s="41" t="n"/>
      <c r="M207" s="41" t="n"/>
      <c r="N207" s="41" t="n"/>
      <c r="O207" s="41" t="n"/>
      <c r="P207" s="41" t="n"/>
      <c r="Q207" s="41" t="n"/>
      <c r="R207" s="23" t="n"/>
      <c r="S207" s="23" t="n"/>
      <c r="T207" s="42">
        <f>IF(OR(L207="",M207=""),"",IFERROR(Settings!$B$3*Settings!$B$5,0))</f>
        <v/>
      </c>
      <c r="U207" s="42">
        <f>IF(OR(L207="",M207="",R207=""),"",ABS(L207-M207)*R207*IF(S207="",1,S207))</f>
        <v/>
      </c>
      <c r="V207" s="26">
        <f>IFERROR(ABS(N207-L207)/ABS(L207-M207),"")</f>
        <v/>
      </c>
      <c r="W207" s="23" t="n"/>
      <c r="X207" s="23" t="n"/>
      <c r="Y207" s="23" t="n"/>
      <c r="Z207" s="23" t="n"/>
      <c r="AA207" s="23" t="n"/>
      <c r="AB207" s="23" t="n"/>
      <c r="AC207" s="23" t="n"/>
      <c r="AD207" s="42">
        <f>IF(OR(L207="",Q207="",R207=""),"",IF(H207="Long",(Q207-L207)*R207*IF(S207="",1,S207),(L207-Q207)*R207*IF(S207="",1,S207)))</f>
        <v/>
      </c>
      <c r="AE207" s="41" t="n"/>
      <c r="AF207" s="41" t="n"/>
      <c r="AG207" s="42">
        <f>IF(AD207="","",AD207-IF(AE207="",0,AE207)-IF(AF207="",0,AF207))</f>
        <v/>
      </c>
      <c r="AH207" s="26">
        <f>IFERROR(AG207/U207,"")</f>
        <v/>
      </c>
      <c r="AI207" s="23" t="n"/>
      <c r="AJ207" s="23" t="n"/>
      <c r="AK207" s="23" t="n"/>
      <c r="AL207" s="23" t="n"/>
    </row>
    <row r="208">
      <c r="A208" s="20">
        <f>IF(B208="","","TR-"&amp;TEXT(ROW()-2,"0000"))</f>
        <v/>
      </c>
      <c r="B208" s="43" t="n"/>
      <c r="C208" s="44" t="n"/>
      <c r="D208" s="44" t="n"/>
      <c r="E208" s="29" t="n"/>
      <c r="F208" s="29" t="n"/>
      <c r="G208" s="29" t="n"/>
      <c r="H208" s="29" t="n"/>
      <c r="I208" s="29" t="n"/>
      <c r="J208" s="29" t="n"/>
      <c r="K208" s="29" t="n"/>
      <c r="L208" s="45" t="n"/>
      <c r="M208" s="45" t="n"/>
      <c r="N208" s="45" t="n"/>
      <c r="O208" s="45" t="n"/>
      <c r="P208" s="45" t="n"/>
      <c r="Q208" s="45" t="n"/>
      <c r="R208" s="29" t="n"/>
      <c r="S208" s="29" t="n"/>
      <c r="T208" s="42">
        <f>IF(OR(L208="",M208=""),"",IFERROR(Settings!$B$3*Settings!$B$5,0))</f>
        <v/>
      </c>
      <c r="U208" s="42">
        <f>IF(OR(L208="",M208="",R208=""),"",ABS(L208-M208)*R208*IF(S208="",1,S208))</f>
        <v/>
      </c>
      <c r="V208" s="26">
        <f>IFERROR(ABS(N208-L208)/ABS(L208-M208),"")</f>
        <v/>
      </c>
      <c r="W208" s="29" t="n"/>
      <c r="X208" s="29" t="n"/>
      <c r="Y208" s="29" t="n"/>
      <c r="Z208" s="29" t="n"/>
      <c r="AA208" s="29" t="n"/>
      <c r="AB208" s="29" t="n"/>
      <c r="AC208" s="29" t="n"/>
      <c r="AD208" s="42">
        <f>IF(OR(L208="",Q208="",R208=""),"",IF(H208="Long",(Q208-L208)*R208*IF(S208="",1,S208),(L208-Q208)*R208*IF(S208="",1,S208)))</f>
        <v/>
      </c>
      <c r="AE208" s="45" t="n"/>
      <c r="AF208" s="45" t="n"/>
      <c r="AG208" s="42">
        <f>IF(AD208="","",AD208-IF(AE208="",0,AE208)-IF(AF208="",0,AF208))</f>
        <v/>
      </c>
      <c r="AH208" s="26">
        <f>IFERROR(AG208/U208,"")</f>
        <v/>
      </c>
      <c r="AI208" s="29" t="n"/>
      <c r="AJ208" s="29" t="n"/>
      <c r="AK208" s="29" t="n"/>
      <c r="AL208" s="29" t="n"/>
    </row>
    <row r="209">
      <c r="A209" s="20">
        <f>IF(B209="","","TR-"&amp;TEXT(ROW()-2,"0000"))</f>
        <v/>
      </c>
      <c r="B209" s="39" t="n"/>
      <c r="C209" s="40" t="n"/>
      <c r="D209" s="40" t="n"/>
      <c r="E209" s="23" t="n"/>
      <c r="F209" s="23" t="n"/>
      <c r="G209" s="23" t="n"/>
      <c r="H209" s="23" t="n"/>
      <c r="I209" s="23" t="n"/>
      <c r="J209" s="23" t="n"/>
      <c r="K209" s="23" t="n"/>
      <c r="L209" s="41" t="n"/>
      <c r="M209" s="41" t="n"/>
      <c r="N209" s="41" t="n"/>
      <c r="O209" s="41" t="n"/>
      <c r="P209" s="41" t="n"/>
      <c r="Q209" s="41" t="n"/>
      <c r="R209" s="23" t="n"/>
      <c r="S209" s="23" t="n"/>
      <c r="T209" s="42">
        <f>IF(OR(L209="",M209=""),"",IFERROR(Settings!$B$3*Settings!$B$5,0))</f>
        <v/>
      </c>
      <c r="U209" s="42">
        <f>IF(OR(L209="",M209="",R209=""),"",ABS(L209-M209)*R209*IF(S209="",1,S209))</f>
        <v/>
      </c>
      <c r="V209" s="26">
        <f>IFERROR(ABS(N209-L209)/ABS(L209-M209),"")</f>
        <v/>
      </c>
      <c r="W209" s="23" t="n"/>
      <c r="X209" s="23" t="n"/>
      <c r="Y209" s="23" t="n"/>
      <c r="Z209" s="23" t="n"/>
      <c r="AA209" s="23" t="n"/>
      <c r="AB209" s="23" t="n"/>
      <c r="AC209" s="23" t="n"/>
      <c r="AD209" s="42">
        <f>IF(OR(L209="",Q209="",R209=""),"",IF(H209="Long",(Q209-L209)*R209*IF(S209="",1,S209),(L209-Q209)*R209*IF(S209="",1,S209)))</f>
        <v/>
      </c>
      <c r="AE209" s="41" t="n"/>
      <c r="AF209" s="41" t="n"/>
      <c r="AG209" s="42">
        <f>IF(AD209="","",AD209-IF(AE209="",0,AE209)-IF(AF209="",0,AF209))</f>
        <v/>
      </c>
      <c r="AH209" s="26">
        <f>IFERROR(AG209/U209,"")</f>
        <v/>
      </c>
      <c r="AI209" s="23" t="n"/>
      <c r="AJ209" s="23" t="n"/>
      <c r="AK209" s="23" t="n"/>
      <c r="AL209" s="23" t="n"/>
    </row>
    <row r="210">
      <c r="A210" s="20">
        <f>IF(B210="","","TR-"&amp;TEXT(ROW()-2,"0000"))</f>
        <v/>
      </c>
      <c r="B210" s="43" t="n"/>
      <c r="C210" s="44" t="n"/>
      <c r="D210" s="44" t="n"/>
      <c r="E210" s="29" t="n"/>
      <c r="F210" s="29" t="n"/>
      <c r="G210" s="29" t="n"/>
      <c r="H210" s="29" t="n"/>
      <c r="I210" s="29" t="n"/>
      <c r="J210" s="29" t="n"/>
      <c r="K210" s="29" t="n"/>
      <c r="L210" s="45" t="n"/>
      <c r="M210" s="45" t="n"/>
      <c r="N210" s="45" t="n"/>
      <c r="O210" s="45" t="n"/>
      <c r="P210" s="45" t="n"/>
      <c r="Q210" s="45" t="n"/>
      <c r="R210" s="29" t="n"/>
      <c r="S210" s="29" t="n"/>
      <c r="T210" s="42">
        <f>IF(OR(L210="",M210=""),"",IFERROR(Settings!$B$3*Settings!$B$5,0))</f>
        <v/>
      </c>
      <c r="U210" s="42">
        <f>IF(OR(L210="",M210="",R210=""),"",ABS(L210-M210)*R210*IF(S210="",1,S210))</f>
        <v/>
      </c>
      <c r="V210" s="26">
        <f>IFERROR(ABS(N210-L210)/ABS(L210-M210),"")</f>
        <v/>
      </c>
      <c r="W210" s="29" t="n"/>
      <c r="X210" s="29" t="n"/>
      <c r="Y210" s="29" t="n"/>
      <c r="Z210" s="29" t="n"/>
      <c r="AA210" s="29" t="n"/>
      <c r="AB210" s="29" t="n"/>
      <c r="AC210" s="29" t="n"/>
      <c r="AD210" s="42">
        <f>IF(OR(L210="",Q210="",R210=""),"",IF(H210="Long",(Q210-L210)*R210*IF(S210="",1,S210),(L210-Q210)*R210*IF(S210="",1,S210)))</f>
        <v/>
      </c>
      <c r="AE210" s="45" t="n"/>
      <c r="AF210" s="45" t="n"/>
      <c r="AG210" s="42">
        <f>IF(AD210="","",AD210-IF(AE210="",0,AE210)-IF(AF210="",0,AF210))</f>
        <v/>
      </c>
      <c r="AH210" s="26">
        <f>IFERROR(AG210/U210,"")</f>
        <v/>
      </c>
      <c r="AI210" s="29" t="n"/>
      <c r="AJ210" s="29" t="n"/>
      <c r="AK210" s="29" t="n"/>
      <c r="AL210" s="29" t="n"/>
    </row>
    <row r="211">
      <c r="A211" s="20">
        <f>IF(B211="","","TR-"&amp;TEXT(ROW()-2,"0000"))</f>
        <v/>
      </c>
      <c r="B211" s="39" t="n"/>
      <c r="C211" s="40" t="n"/>
      <c r="D211" s="40" t="n"/>
      <c r="E211" s="23" t="n"/>
      <c r="F211" s="23" t="n"/>
      <c r="G211" s="23" t="n"/>
      <c r="H211" s="23" t="n"/>
      <c r="I211" s="23" t="n"/>
      <c r="J211" s="23" t="n"/>
      <c r="K211" s="23" t="n"/>
      <c r="L211" s="41" t="n"/>
      <c r="M211" s="41" t="n"/>
      <c r="N211" s="41" t="n"/>
      <c r="O211" s="41" t="n"/>
      <c r="P211" s="41" t="n"/>
      <c r="Q211" s="41" t="n"/>
      <c r="R211" s="23" t="n"/>
      <c r="S211" s="23" t="n"/>
      <c r="T211" s="42">
        <f>IF(OR(L211="",M211=""),"",IFERROR(Settings!$B$3*Settings!$B$5,0))</f>
        <v/>
      </c>
      <c r="U211" s="42">
        <f>IF(OR(L211="",M211="",R211=""),"",ABS(L211-M211)*R211*IF(S211="",1,S211))</f>
        <v/>
      </c>
      <c r="V211" s="26">
        <f>IFERROR(ABS(N211-L211)/ABS(L211-M211),"")</f>
        <v/>
      </c>
      <c r="W211" s="23" t="n"/>
      <c r="X211" s="23" t="n"/>
      <c r="Y211" s="23" t="n"/>
      <c r="Z211" s="23" t="n"/>
      <c r="AA211" s="23" t="n"/>
      <c r="AB211" s="23" t="n"/>
      <c r="AC211" s="23" t="n"/>
      <c r="AD211" s="42">
        <f>IF(OR(L211="",Q211="",R211=""),"",IF(H211="Long",(Q211-L211)*R211*IF(S211="",1,S211),(L211-Q211)*R211*IF(S211="",1,S211)))</f>
        <v/>
      </c>
      <c r="AE211" s="41" t="n"/>
      <c r="AF211" s="41" t="n"/>
      <c r="AG211" s="42">
        <f>IF(AD211="","",AD211-IF(AE211="",0,AE211)-IF(AF211="",0,AF211))</f>
        <v/>
      </c>
      <c r="AH211" s="26">
        <f>IFERROR(AG211/U211,"")</f>
        <v/>
      </c>
      <c r="AI211" s="23" t="n"/>
      <c r="AJ211" s="23" t="n"/>
      <c r="AK211" s="23" t="n"/>
      <c r="AL211" s="23" t="n"/>
    </row>
    <row r="212">
      <c r="A212" s="20">
        <f>IF(B212="","","TR-"&amp;TEXT(ROW()-2,"0000"))</f>
        <v/>
      </c>
      <c r="B212" s="43" t="n"/>
      <c r="C212" s="44" t="n"/>
      <c r="D212" s="44" t="n"/>
      <c r="E212" s="29" t="n"/>
      <c r="F212" s="29" t="n"/>
      <c r="G212" s="29" t="n"/>
      <c r="H212" s="29" t="n"/>
      <c r="I212" s="29" t="n"/>
      <c r="J212" s="29" t="n"/>
      <c r="K212" s="29" t="n"/>
      <c r="L212" s="45" t="n"/>
      <c r="M212" s="45" t="n"/>
      <c r="N212" s="45" t="n"/>
      <c r="O212" s="45" t="n"/>
      <c r="P212" s="45" t="n"/>
      <c r="Q212" s="45" t="n"/>
      <c r="R212" s="29" t="n"/>
      <c r="S212" s="29" t="n"/>
      <c r="T212" s="42">
        <f>IF(OR(L212="",M212=""),"",IFERROR(Settings!$B$3*Settings!$B$5,0))</f>
        <v/>
      </c>
      <c r="U212" s="42">
        <f>IF(OR(L212="",M212="",R212=""),"",ABS(L212-M212)*R212*IF(S212="",1,S212))</f>
        <v/>
      </c>
      <c r="V212" s="26">
        <f>IFERROR(ABS(N212-L212)/ABS(L212-M212),"")</f>
        <v/>
      </c>
      <c r="W212" s="29" t="n"/>
      <c r="X212" s="29" t="n"/>
      <c r="Y212" s="29" t="n"/>
      <c r="Z212" s="29" t="n"/>
      <c r="AA212" s="29" t="n"/>
      <c r="AB212" s="29" t="n"/>
      <c r="AC212" s="29" t="n"/>
      <c r="AD212" s="42">
        <f>IF(OR(L212="",Q212="",R212=""),"",IF(H212="Long",(Q212-L212)*R212*IF(S212="",1,S212),(L212-Q212)*R212*IF(S212="",1,S212)))</f>
        <v/>
      </c>
      <c r="AE212" s="45" t="n"/>
      <c r="AF212" s="45" t="n"/>
      <c r="AG212" s="42">
        <f>IF(AD212="","",AD212-IF(AE212="",0,AE212)-IF(AF212="",0,AF212))</f>
        <v/>
      </c>
      <c r="AH212" s="26">
        <f>IFERROR(AG212/U212,"")</f>
        <v/>
      </c>
      <c r="AI212" s="29" t="n"/>
      <c r="AJ212" s="29" t="n"/>
      <c r="AK212" s="29" t="n"/>
      <c r="AL212" s="29" t="n"/>
    </row>
    <row r="213">
      <c r="A213" s="20">
        <f>IF(B213="","","TR-"&amp;TEXT(ROW()-2,"0000"))</f>
        <v/>
      </c>
      <c r="B213" s="39" t="n"/>
      <c r="C213" s="40" t="n"/>
      <c r="D213" s="40" t="n"/>
      <c r="E213" s="23" t="n"/>
      <c r="F213" s="23" t="n"/>
      <c r="G213" s="23" t="n"/>
      <c r="H213" s="23" t="n"/>
      <c r="I213" s="23" t="n"/>
      <c r="J213" s="23" t="n"/>
      <c r="K213" s="23" t="n"/>
      <c r="L213" s="41" t="n"/>
      <c r="M213" s="41" t="n"/>
      <c r="N213" s="41" t="n"/>
      <c r="O213" s="41" t="n"/>
      <c r="P213" s="41" t="n"/>
      <c r="Q213" s="41" t="n"/>
      <c r="R213" s="23" t="n"/>
      <c r="S213" s="23" t="n"/>
      <c r="T213" s="42">
        <f>IF(OR(L213="",M213=""),"",IFERROR(Settings!$B$3*Settings!$B$5,0))</f>
        <v/>
      </c>
      <c r="U213" s="42">
        <f>IF(OR(L213="",M213="",R213=""),"",ABS(L213-M213)*R213*IF(S213="",1,S213))</f>
        <v/>
      </c>
      <c r="V213" s="26">
        <f>IFERROR(ABS(N213-L213)/ABS(L213-M213),"")</f>
        <v/>
      </c>
      <c r="W213" s="23" t="n"/>
      <c r="X213" s="23" t="n"/>
      <c r="Y213" s="23" t="n"/>
      <c r="Z213" s="23" t="n"/>
      <c r="AA213" s="23" t="n"/>
      <c r="AB213" s="23" t="n"/>
      <c r="AC213" s="23" t="n"/>
      <c r="AD213" s="42">
        <f>IF(OR(L213="",Q213="",R213=""),"",IF(H213="Long",(Q213-L213)*R213*IF(S213="",1,S213),(L213-Q213)*R213*IF(S213="",1,S213)))</f>
        <v/>
      </c>
      <c r="AE213" s="41" t="n"/>
      <c r="AF213" s="41" t="n"/>
      <c r="AG213" s="42">
        <f>IF(AD213="","",AD213-IF(AE213="",0,AE213)-IF(AF213="",0,AF213))</f>
        <v/>
      </c>
      <c r="AH213" s="26">
        <f>IFERROR(AG213/U213,"")</f>
        <v/>
      </c>
      <c r="AI213" s="23" t="n"/>
      <c r="AJ213" s="23" t="n"/>
      <c r="AK213" s="23" t="n"/>
      <c r="AL213" s="23" t="n"/>
    </row>
    <row r="214">
      <c r="A214" s="20">
        <f>IF(B214="","","TR-"&amp;TEXT(ROW()-2,"0000"))</f>
        <v/>
      </c>
      <c r="B214" s="43" t="n"/>
      <c r="C214" s="44" t="n"/>
      <c r="D214" s="44" t="n"/>
      <c r="E214" s="29" t="n"/>
      <c r="F214" s="29" t="n"/>
      <c r="G214" s="29" t="n"/>
      <c r="H214" s="29" t="n"/>
      <c r="I214" s="29" t="n"/>
      <c r="J214" s="29" t="n"/>
      <c r="K214" s="29" t="n"/>
      <c r="L214" s="45" t="n"/>
      <c r="M214" s="45" t="n"/>
      <c r="N214" s="45" t="n"/>
      <c r="O214" s="45" t="n"/>
      <c r="P214" s="45" t="n"/>
      <c r="Q214" s="45" t="n"/>
      <c r="R214" s="29" t="n"/>
      <c r="S214" s="29" t="n"/>
      <c r="T214" s="42">
        <f>IF(OR(L214="",M214=""),"",IFERROR(Settings!$B$3*Settings!$B$5,0))</f>
        <v/>
      </c>
      <c r="U214" s="42">
        <f>IF(OR(L214="",M214="",R214=""),"",ABS(L214-M214)*R214*IF(S214="",1,S214))</f>
        <v/>
      </c>
      <c r="V214" s="26">
        <f>IFERROR(ABS(N214-L214)/ABS(L214-M214),"")</f>
        <v/>
      </c>
      <c r="W214" s="29" t="n"/>
      <c r="X214" s="29" t="n"/>
      <c r="Y214" s="29" t="n"/>
      <c r="Z214" s="29" t="n"/>
      <c r="AA214" s="29" t="n"/>
      <c r="AB214" s="29" t="n"/>
      <c r="AC214" s="29" t="n"/>
      <c r="AD214" s="42">
        <f>IF(OR(L214="",Q214="",R214=""),"",IF(H214="Long",(Q214-L214)*R214*IF(S214="",1,S214),(L214-Q214)*R214*IF(S214="",1,S214)))</f>
        <v/>
      </c>
      <c r="AE214" s="45" t="n"/>
      <c r="AF214" s="45" t="n"/>
      <c r="AG214" s="42">
        <f>IF(AD214="","",AD214-IF(AE214="",0,AE214)-IF(AF214="",0,AF214))</f>
        <v/>
      </c>
      <c r="AH214" s="26">
        <f>IFERROR(AG214/U214,"")</f>
        <v/>
      </c>
      <c r="AI214" s="29" t="n"/>
      <c r="AJ214" s="29" t="n"/>
      <c r="AK214" s="29" t="n"/>
      <c r="AL214" s="29" t="n"/>
    </row>
    <row r="215">
      <c r="A215" s="20">
        <f>IF(B215="","","TR-"&amp;TEXT(ROW()-2,"0000"))</f>
        <v/>
      </c>
      <c r="B215" s="39" t="n"/>
      <c r="C215" s="40" t="n"/>
      <c r="D215" s="40" t="n"/>
      <c r="E215" s="23" t="n"/>
      <c r="F215" s="23" t="n"/>
      <c r="G215" s="23" t="n"/>
      <c r="H215" s="23" t="n"/>
      <c r="I215" s="23" t="n"/>
      <c r="J215" s="23" t="n"/>
      <c r="K215" s="23" t="n"/>
      <c r="L215" s="41" t="n"/>
      <c r="M215" s="41" t="n"/>
      <c r="N215" s="41" t="n"/>
      <c r="O215" s="41" t="n"/>
      <c r="P215" s="41" t="n"/>
      <c r="Q215" s="41" t="n"/>
      <c r="R215" s="23" t="n"/>
      <c r="S215" s="23" t="n"/>
      <c r="T215" s="42">
        <f>IF(OR(L215="",M215=""),"",IFERROR(Settings!$B$3*Settings!$B$5,0))</f>
        <v/>
      </c>
      <c r="U215" s="42">
        <f>IF(OR(L215="",M215="",R215=""),"",ABS(L215-M215)*R215*IF(S215="",1,S215))</f>
        <v/>
      </c>
      <c r="V215" s="26">
        <f>IFERROR(ABS(N215-L215)/ABS(L215-M215),"")</f>
        <v/>
      </c>
      <c r="W215" s="23" t="n"/>
      <c r="X215" s="23" t="n"/>
      <c r="Y215" s="23" t="n"/>
      <c r="Z215" s="23" t="n"/>
      <c r="AA215" s="23" t="n"/>
      <c r="AB215" s="23" t="n"/>
      <c r="AC215" s="23" t="n"/>
      <c r="AD215" s="42">
        <f>IF(OR(L215="",Q215="",R215=""),"",IF(H215="Long",(Q215-L215)*R215*IF(S215="",1,S215),(L215-Q215)*R215*IF(S215="",1,S215)))</f>
        <v/>
      </c>
      <c r="AE215" s="41" t="n"/>
      <c r="AF215" s="41" t="n"/>
      <c r="AG215" s="42">
        <f>IF(AD215="","",AD215-IF(AE215="",0,AE215)-IF(AF215="",0,AF215))</f>
        <v/>
      </c>
      <c r="AH215" s="26">
        <f>IFERROR(AG215/U215,"")</f>
        <v/>
      </c>
      <c r="AI215" s="23" t="n"/>
      <c r="AJ215" s="23" t="n"/>
      <c r="AK215" s="23" t="n"/>
      <c r="AL215" s="23" t="n"/>
    </row>
    <row r="216">
      <c r="A216" s="20">
        <f>IF(B216="","","TR-"&amp;TEXT(ROW()-2,"0000"))</f>
        <v/>
      </c>
      <c r="B216" s="43" t="n"/>
      <c r="C216" s="44" t="n"/>
      <c r="D216" s="44" t="n"/>
      <c r="E216" s="29" t="n"/>
      <c r="F216" s="29" t="n"/>
      <c r="G216" s="29" t="n"/>
      <c r="H216" s="29" t="n"/>
      <c r="I216" s="29" t="n"/>
      <c r="J216" s="29" t="n"/>
      <c r="K216" s="29" t="n"/>
      <c r="L216" s="45" t="n"/>
      <c r="M216" s="45" t="n"/>
      <c r="N216" s="45" t="n"/>
      <c r="O216" s="45" t="n"/>
      <c r="P216" s="45" t="n"/>
      <c r="Q216" s="45" t="n"/>
      <c r="R216" s="29" t="n"/>
      <c r="S216" s="29" t="n"/>
      <c r="T216" s="42">
        <f>IF(OR(L216="",M216=""),"",IFERROR(Settings!$B$3*Settings!$B$5,0))</f>
        <v/>
      </c>
      <c r="U216" s="42">
        <f>IF(OR(L216="",M216="",R216=""),"",ABS(L216-M216)*R216*IF(S216="",1,S216))</f>
        <v/>
      </c>
      <c r="V216" s="26">
        <f>IFERROR(ABS(N216-L216)/ABS(L216-M216),"")</f>
        <v/>
      </c>
      <c r="W216" s="29" t="n"/>
      <c r="X216" s="29" t="n"/>
      <c r="Y216" s="29" t="n"/>
      <c r="Z216" s="29" t="n"/>
      <c r="AA216" s="29" t="n"/>
      <c r="AB216" s="29" t="n"/>
      <c r="AC216" s="29" t="n"/>
      <c r="AD216" s="42">
        <f>IF(OR(L216="",Q216="",R216=""),"",IF(H216="Long",(Q216-L216)*R216*IF(S216="",1,S216),(L216-Q216)*R216*IF(S216="",1,S216)))</f>
        <v/>
      </c>
      <c r="AE216" s="45" t="n"/>
      <c r="AF216" s="45" t="n"/>
      <c r="AG216" s="42">
        <f>IF(AD216="","",AD216-IF(AE216="",0,AE216)-IF(AF216="",0,AF216))</f>
        <v/>
      </c>
      <c r="AH216" s="26">
        <f>IFERROR(AG216/U216,"")</f>
        <v/>
      </c>
      <c r="AI216" s="29" t="n"/>
      <c r="AJ216" s="29" t="n"/>
      <c r="AK216" s="29" t="n"/>
      <c r="AL216" s="29" t="n"/>
    </row>
    <row r="217">
      <c r="A217" s="20">
        <f>IF(B217="","","TR-"&amp;TEXT(ROW()-2,"0000"))</f>
        <v/>
      </c>
      <c r="B217" s="39" t="n"/>
      <c r="C217" s="40" t="n"/>
      <c r="D217" s="40" t="n"/>
      <c r="E217" s="23" t="n"/>
      <c r="F217" s="23" t="n"/>
      <c r="G217" s="23" t="n"/>
      <c r="H217" s="23" t="n"/>
      <c r="I217" s="23" t="n"/>
      <c r="J217" s="23" t="n"/>
      <c r="K217" s="23" t="n"/>
      <c r="L217" s="41" t="n"/>
      <c r="M217" s="41" t="n"/>
      <c r="N217" s="41" t="n"/>
      <c r="O217" s="41" t="n"/>
      <c r="P217" s="41" t="n"/>
      <c r="Q217" s="41" t="n"/>
      <c r="R217" s="23" t="n"/>
      <c r="S217" s="23" t="n"/>
      <c r="T217" s="42">
        <f>IF(OR(L217="",M217=""),"",IFERROR(Settings!$B$3*Settings!$B$5,0))</f>
        <v/>
      </c>
      <c r="U217" s="42">
        <f>IF(OR(L217="",M217="",R217=""),"",ABS(L217-M217)*R217*IF(S217="",1,S217))</f>
        <v/>
      </c>
      <c r="V217" s="26">
        <f>IFERROR(ABS(N217-L217)/ABS(L217-M217),"")</f>
        <v/>
      </c>
      <c r="W217" s="23" t="n"/>
      <c r="X217" s="23" t="n"/>
      <c r="Y217" s="23" t="n"/>
      <c r="Z217" s="23" t="n"/>
      <c r="AA217" s="23" t="n"/>
      <c r="AB217" s="23" t="n"/>
      <c r="AC217" s="23" t="n"/>
      <c r="AD217" s="42">
        <f>IF(OR(L217="",Q217="",R217=""),"",IF(H217="Long",(Q217-L217)*R217*IF(S217="",1,S217),(L217-Q217)*R217*IF(S217="",1,S217)))</f>
        <v/>
      </c>
      <c r="AE217" s="41" t="n"/>
      <c r="AF217" s="41" t="n"/>
      <c r="AG217" s="42">
        <f>IF(AD217="","",AD217-IF(AE217="",0,AE217)-IF(AF217="",0,AF217))</f>
        <v/>
      </c>
      <c r="AH217" s="26">
        <f>IFERROR(AG217/U217,"")</f>
        <v/>
      </c>
      <c r="AI217" s="23" t="n"/>
      <c r="AJ217" s="23" t="n"/>
      <c r="AK217" s="23" t="n"/>
      <c r="AL217" s="23" t="n"/>
    </row>
    <row r="218">
      <c r="A218" s="20">
        <f>IF(B218="","","TR-"&amp;TEXT(ROW()-2,"0000"))</f>
        <v/>
      </c>
      <c r="B218" s="43" t="n"/>
      <c r="C218" s="44" t="n"/>
      <c r="D218" s="44" t="n"/>
      <c r="E218" s="29" t="n"/>
      <c r="F218" s="29" t="n"/>
      <c r="G218" s="29" t="n"/>
      <c r="H218" s="29" t="n"/>
      <c r="I218" s="29" t="n"/>
      <c r="J218" s="29" t="n"/>
      <c r="K218" s="29" t="n"/>
      <c r="L218" s="45" t="n"/>
      <c r="M218" s="45" t="n"/>
      <c r="N218" s="45" t="n"/>
      <c r="O218" s="45" t="n"/>
      <c r="P218" s="45" t="n"/>
      <c r="Q218" s="45" t="n"/>
      <c r="R218" s="29" t="n"/>
      <c r="S218" s="29" t="n"/>
      <c r="T218" s="42">
        <f>IF(OR(L218="",M218=""),"",IFERROR(Settings!$B$3*Settings!$B$5,0))</f>
        <v/>
      </c>
      <c r="U218" s="42">
        <f>IF(OR(L218="",M218="",R218=""),"",ABS(L218-M218)*R218*IF(S218="",1,S218))</f>
        <v/>
      </c>
      <c r="V218" s="26">
        <f>IFERROR(ABS(N218-L218)/ABS(L218-M218),"")</f>
        <v/>
      </c>
      <c r="W218" s="29" t="n"/>
      <c r="X218" s="29" t="n"/>
      <c r="Y218" s="29" t="n"/>
      <c r="Z218" s="29" t="n"/>
      <c r="AA218" s="29" t="n"/>
      <c r="AB218" s="29" t="n"/>
      <c r="AC218" s="29" t="n"/>
      <c r="AD218" s="42">
        <f>IF(OR(L218="",Q218="",R218=""),"",IF(H218="Long",(Q218-L218)*R218*IF(S218="",1,S218),(L218-Q218)*R218*IF(S218="",1,S218)))</f>
        <v/>
      </c>
      <c r="AE218" s="45" t="n"/>
      <c r="AF218" s="45" t="n"/>
      <c r="AG218" s="42">
        <f>IF(AD218="","",AD218-IF(AE218="",0,AE218)-IF(AF218="",0,AF218))</f>
        <v/>
      </c>
      <c r="AH218" s="26">
        <f>IFERROR(AG218/U218,"")</f>
        <v/>
      </c>
      <c r="AI218" s="29" t="n"/>
      <c r="AJ218" s="29" t="n"/>
      <c r="AK218" s="29" t="n"/>
      <c r="AL218" s="29" t="n"/>
    </row>
    <row r="219">
      <c r="A219" s="20">
        <f>IF(B219="","","TR-"&amp;TEXT(ROW()-2,"0000"))</f>
        <v/>
      </c>
      <c r="B219" s="39" t="n"/>
      <c r="C219" s="40" t="n"/>
      <c r="D219" s="40" t="n"/>
      <c r="E219" s="23" t="n"/>
      <c r="F219" s="23" t="n"/>
      <c r="G219" s="23" t="n"/>
      <c r="H219" s="23" t="n"/>
      <c r="I219" s="23" t="n"/>
      <c r="J219" s="23" t="n"/>
      <c r="K219" s="23" t="n"/>
      <c r="L219" s="41" t="n"/>
      <c r="M219" s="41" t="n"/>
      <c r="N219" s="41" t="n"/>
      <c r="O219" s="41" t="n"/>
      <c r="P219" s="41" t="n"/>
      <c r="Q219" s="41" t="n"/>
      <c r="R219" s="23" t="n"/>
      <c r="S219" s="23" t="n"/>
      <c r="T219" s="42">
        <f>IF(OR(L219="",M219=""),"",IFERROR(Settings!$B$3*Settings!$B$5,0))</f>
        <v/>
      </c>
      <c r="U219" s="42">
        <f>IF(OR(L219="",M219="",R219=""),"",ABS(L219-M219)*R219*IF(S219="",1,S219))</f>
        <v/>
      </c>
      <c r="V219" s="26">
        <f>IFERROR(ABS(N219-L219)/ABS(L219-M219),"")</f>
        <v/>
      </c>
      <c r="W219" s="23" t="n"/>
      <c r="X219" s="23" t="n"/>
      <c r="Y219" s="23" t="n"/>
      <c r="Z219" s="23" t="n"/>
      <c r="AA219" s="23" t="n"/>
      <c r="AB219" s="23" t="n"/>
      <c r="AC219" s="23" t="n"/>
      <c r="AD219" s="42">
        <f>IF(OR(L219="",Q219="",R219=""),"",IF(H219="Long",(Q219-L219)*R219*IF(S219="",1,S219),(L219-Q219)*R219*IF(S219="",1,S219)))</f>
        <v/>
      </c>
      <c r="AE219" s="41" t="n"/>
      <c r="AF219" s="41" t="n"/>
      <c r="AG219" s="42">
        <f>IF(AD219="","",AD219-IF(AE219="",0,AE219)-IF(AF219="",0,AF219))</f>
        <v/>
      </c>
      <c r="AH219" s="26">
        <f>IFERROR(AG219/U219,"")</f>
        <v/>
      </c>
      <c r="AI219" s="23" t="n"/>
      <c r="AJ219" s="23" t="n"/>
      <c r="AK219" s="23" t="n"/>
      <c r="AL219" s="23" t="n"/>
    </row>
    <row r="220">
      <c r="A220" s="20">
        <f>IF(B220="","","TR-"&amp;TEXT(ROW()-2,"0000"))</f>
        <v/>
      </c>
      <c r="B220" s="43" t="n"/>
      <c r="C220" s="44" t="n"/>
      <c r="D220" s="44" t="n"/>
      <c r="E220" s="29" t="n"/>
      <c r="F220" s="29" t="n"/>
      <c r="G220" s="29" t="n"/>
      <c r="H220" s="29" t="n"/>
      <c r="I220" s="29" t="n"/>
      <c r="J220" s="29" t="n"/>
      <c r="K220" s="29" t="n"/>
      <c r="L220" s="45" t="n"/>
      <c r="M220" s="45" t="n"/>
      <c r="N220" s="45" t="n"/>
      <c r="O220" s="45" t="n"/>
      <c r="P220" s="45" t="n"/>
      <c r="Q220" s="45" t="n"/>
      <c r="R220" s="29" t="n"/>
      <c r="S220" s="29" t="n"/>
      <c r="T220" s="42">
        <f>IF(OR(L220="",M220=""),"",IFERROR(Settings!$B$3*Settings!$B$5,0))</f>
        <v/>
      </c>
      <c r="U220" s="42">
        <f>IF(OR(L220="",M220="",R220=""),"",ABS(L220-M220)*R220*IF(S220="",1,S220))</f>
        <v/>
      </c>
      <c r="V220" s="26">
        <f>IFERROR(ABS(N220-L220)/ABS(L220-M220),"")</f>
        <v/>
      </c>
      <c r="W220" s="29" t="n"/>
      <c r="X220" s="29" t="n"/>
      <c r="Y220" s="29" t="n"/>
      <c r="Z220" s="29" t="n"/>
      <c r="AA220" s="29" t="n"/>
      <c r="AB220" s="29" t="n"/>
      <c r="AC220" s="29" t="n"/>
      <c r="AD220" s="42">
        <f>IF(OR(L220="",Q220="",R220=""),"",IF(H220="Long",(Q220-L220)*R220*IF(S220="",1,S220),(L220-Q220)*R220*IF(S220="",1,S220)))</f>
        <v/>
      </c>
      <c r="AE220" s="45" t="n"/>
      <c r="AF220" s="45" t="n"/>
      <c r="AG220" s="42">
        <f>IF(AD220="","",AD220-IF(AE220="",0,AE220)-IF(AF220="",0,AF220))</f>
        <v/>
      </c>
      <c r="AH220" s="26">
        <f>IFERROR(AG220/U220,"")</f>
        <v/>
      </c>
      <c r="AI220" s="29" t="n"/>
      <c r="AJ220" s="29" t="n"/>
      <c r="AK220" s="29" t="n"/>
      <c r="AL220" s="29" t="n"/>
    </row>
    <row r="221">
      <c r="A221" s="20">
        <f>IF(B221="","","TR-"&amp;TEXT(ROW()-2,"0000"))</f>
        <v/>
      </c>
      <c r="B221" s="39" t="n"/>
      <c r="C221" s="40" t="n"/>
      <c r="D221" s="40" t="n"/>
      <c r="E221" s="23" t="n"/>
      <c r="F221" s="23" t="n"/>
      <c r="G221" s="23" t="n"/>
      <c r="H221" s="23" t="n"/>
      <c r="I221" s="23" t="n"/>
      <c r="J221" s="23" t="n"/>
      <c r="K221" s="23" t="n"/>
      <c r="L221" s="41" t="n"/>
      <c r="M221" s="41" t="n"/>
      <c r="N221" s="41" t="n"/>
      <c r="O221" s="41" t="n"/>
      <c r="P221" s="41" t="n"/>
      <c r="Q221" s="41" t="n"/>
      <c r="R221" s="23" t="n"/>
      <c r="S221" s="23" t="n"/>
      <c r="T221" s="42">
        <f>IF(OR(L221="",M221=""),"",IFERROR(Settings!$B$3*Settings!$B$5,0))</f>
        <v/>
      </c>
      <c r="U221" s="42">
        <f>IF(OR(L221="",M221="",R221=""),"",ABS(L221-M221)*R221*IF(S221="",1,S221))</f>
        <v/>
      </c>
      <c r="V221" s="26">
        <f>IFERROR(ABS(N221-L221)/ABS(L221-M221),"")</f>
        <v/>
      </c>
      <c r="W221" s="23" t="n"/>
      <c r="X221" s="23" t="n"/>
      <c r="Y221" s="23" t="n"/>
      <c r="Z221" s="23" t="n"/>
      <c r="AA221" s="23" t="n"/>
      <c r="AB221" s="23" t="n"/>
      <c r="AC221" s="23" t="n"/>
      <c r="AD221" s="42">
        <f>IF(OR(L221="",Q221="",R221=""),"",IF(H221="Long",(Q221-L221)*R221*IF(S221="",1,S221),(L221-Q221)*R221*IF(S221="",1,S221)))</f>
        <v/>
      </c>
      <c r="AE221" s="41" t="n"/>
      <c r="AF221" s="41" t="n"/>
      <c r="AG221" s="42">
        <f>IF(AD221="","",AD221-IF(AE221="",0,AE221)-IF(AF221="",0,AF221))</f>
        <v/>
      </c>
      <c r="AH221" s="26">
        <f>IFERROR(AG221/U221,"")</f>
        <v/>
      </c>
      <c r="AI221" s="23" t="n"/>
      <c r="AJ221" s="23" t="n"/>
      <c r="AK221" s="23" t="n"/>
      <c r="AL221" s="23" t="n"/>
    </row>
    <row r="222">
      <c r="A222" s="20">
        <f>IF(B222="","","TR-"&amp;TEXT(ROW()-2,"0000"))</f>
        <v/>
      </c>
      <c r="B222" s="43" t="n"/>
      <c r="C222" s="44" t="n"/>
      <c r="D222" s="44" t="n"/>
      <c r="E222" s="29" t="n"/>
      <c r="F222" s="29" t="n"/>
      <c r="G222" s="29" t="n"/>
      <c r="H222" s="29" t="n"/>
      <c r="I222" s="29" t="n"/>
      <c r="J222" s="29" t="n"/>
      <c r="K222" s="29" t="n"/>
      <c r="L222" s="45" t="n"/>
      <c r="M222" s="45" t="n"/>
      <c r="N222" s="45" t="n"/>
      <c r="O222" s="45" t="n"/>
      <c r="P222" s="45" t="n"/>
      <c r="Q222" s="45" t="n"/>
      <c r="R222" s="29" t="n"/>
      <c r="S222" s="29" t="n"/>
      <c r="T222" s="42">
        <f>IF(OR(L222="",M222=""),"",IFERROR(Settings!$B$3*Settings!$B$5,0))</f>
        <v/>
      </c>
      <c r="U222" s="42">
        <f>IF(OR(L222="",M222="",R222=""),"",ABS(L222-M222)*R222*IF(S222="",1,S222))</f>
        <v/>
      </c>
      <c r="V222" s="26">
        <f>IFERROR(ABS(N222-L222)/ABS(L222-M222),"")</f>
        <v/>
      </c>
      <c r="W222" s="29" t="n"/>
      <c r="X222" s="29" t="n"/>
      <c r="Y222" s="29" t="n"/>
      <c r="Z222" s="29" t="n"/>
      <c r="AA222" s="29" t="n"/>
      <c r="AB222" s="29" t="n"/>
      <c r="AC222" s="29" t="n"/>
      <c r="AD222" s="42">
        <f>IF(OR(L222="",Q222="",R222=""),"",IF(H222="Long",(Q222-L222)*R222*IF(S222="",1,S222),(L222-Q222)*R222*IF(S222="",1,S222)))</f>
        <v/>
      </c>
      <c r="AE222" s="45" t="n"/>
      <c r="AF222" s="45" t="n"/>
      <c r="AG222" s="42">
        <f>IF(AD222="","",AD222-IF(AE222="",0,AE222)-IF(AF222="",0,AF222))</f>
        <v/>
      </c>
      <c r="AH222" s="26">
        <f>IFERROR(AG222/U222,"")</f>
        <v/>
      </c>
      <c r="AI222" s="29" t="n"/>
      <c r="AJ222" s="29" t="n"/>
      <c r="AK222" s="29" t="n"/>
      <c r="AL222" s="29" t="n"/>
    </row>
    <row r="223">
      <c r="A223" s="20">
        <f>IF(B223="","","TR-"&amp;TEXT(ROW()-2,"0000"))</f>
        <v/>
      </c>
      <c r="B223" s="39" t="n"/>
      <c r="C223" s="40" t="n"/>
      <c r="D223" s="40" t="n"/>
      <c r="E223" s="23" t="n"/>
      <c r="F223" s="23" t="n"/>
      <c r="G223" s="23" t="n"/>
      <c r="H223" s="23" t="n"/>
      <c r="I223" s="23" t="n"/>
      <c r="J223" s="23" t="n"/>
      <c r="K223" s="23" t="n"/>
      <c r="L223" s="41" t="n"/>
      <c r="M223" s="41" t="n"/>
      <c r="N223" s="41" t="n"/>
      <c r="O223" s="41" t="n"/>
      <c r="P223" s="41" t="n"/>
      <c r="Q223" s="41" t="n"/>
      <c r="R223" s="23" t="n"/>
      <c r="S223" s="23" t="n"/>
      <c r="T223" s="42">
        <f>IF(OR(L223="",M223=""),"",IFERROR(Settings!$B$3*Settings!$B$5,0))</f>
        <v/>
      </c>
      <c r="U223" s="42">
        <f>IF(OR(L223="",M223="",R223=""),"",ABS(L223-M223)*R223*IF(S223="",1,S223))</f>
        <v/>
      </c>
      <c r="V223" s="26">
        <f>IFERROR(ABS(N223-L223)/ABS(L223-M223),"")</f>
        <v/>
      </c>
      <c r="W223" s="23" t="n"/>
      <c r="X223" s="23" t="n"/>
      <c r="Y223" s="23" t="n"/>
      <c r="Z223" s="23" t="n"/>
      <c r="AA223" s="23" t="n"/>
      <c r="AB223" s="23" t="n"/>
      <c r="AC223" s="23" t="n"/>
      <c r="AD223" s="42">
        <f>IF(OR(L223="",Q223="",R223=""),"",IF(H223="Long",(Q223-L223)*R223*IF(S223="",1,S223),(L223-Q223)*R223*IF(S223="",1,S223)))</f>
        <v/>
      </c>
      <c r="AE223" s="41" t="n"/>
      <c r="AF223" s="41" t="n"/>
      <c r="AG223" s="42">
        <f>IF(AD223="","",AD223-IF(AE223="",0,AE223)-IF(AF223="",0,AF223))</f>
        <v/>
      </c>
      <c r="AH223" s="26">
        <f>IFERROR(AG223/U223,"")</f>
        <v/>
      </c>
      <c r="AI223" s="23" t="n"/>
      <c r="AJ223" s="23" t="n"/>
      <c r="AK223" s="23" t="n"/>
      <c r="AL223" s="23" t="n"/>
    </row>
    <row r="224">
      <c r="A224" s="20">
        <f>IF(B224="","","TR-"&amp;TEXT(ROW()-2,"0000"))</f>
        <v/>
      </c>
      <c r="B224" s="43" t="n"/>
      <c r="C224" s="44" t="n"/>
      <c r="D224" s="44" t="n"/>
      <c r="E224" s="29" t="n"/>
      <c r="F224" s="29" t="n"/>
      <c r="G224" s="29" t="n"/>
      <c r="H224" s="29" t="n"/>
      <c r="I224" s="29" t="n"/>
      <c r="J224" s="29" t="n"/>
      <c r="K224" s="29" t="n"/>
      <c r="L224" s="45" t="n"/>
      <c r="M224" s="45" t="n"/>
      <c r="N224" s="45" t="n"/>
      <c r="O224" s="45" t="n"/>
      <c r="P224" s="45" t="n"/>
      <c r="Q224" s="45" t="n"/>
      <c r="R224" s="29" t="n"/>
      <c r="S224" s="29" t="n"/>
      <c r="T224" s="42">
        <f>IF(OR(L224="",M224=""),"",IFERROR(Settings!$B$3*Settings!$B$5,0))</f>
        <v/>
      </c>
      <c r="U224" s="42">
        <f>IF(OR(L224="",M224="",R224=""),"",ABS(L224-M224)*R224*IF(S224="",1,S224))</f>
        <v/>
      </c>
      <c r="V224" s="26">
        <f>IFERROR(ABS(N224-L224)/ABS(L224-M224),"")</f>
        <v/>
      </c>
      <c r="W224" s="29" t="n"/>
      <c r="X224" s="29" t="n"/>
      <c r="Y224" s="29" t="n"/>
      <c r="Z224" s="29" t="n"/>
      <c r="AA224" s="29" t="n"/>
      <c r="AB224" s="29" t="n"/>
      <c r="AC224" s="29" t="n"/>
      <c r="AD224" s="42">
        <f>IF(OR(L224="",Q224="",R224=""),"",IF(H224="Long",(Q224-L224)*R224*IF(S224="",1,S224),(L224-Q224)*R224*IF(S224="",1,S224)))</f>
        <v/>
      </c>
      <c r="AE224" s="45" t="n"/>
      <c r="AF224" s="45" t="n"/>
      <c r="AG224" s="42">
        <f>IF(AD224="","",AD224-IF(AE224="",0,AE224)-IF(AF224="",0,AF224))</f>
        <v/>
      </c>
      <c r="AH224" s="26">
        <f>IFERROR(AG224/U224,"")</f>
        <v/>
      </c>
      <c r="AI224" s="29" t="n"/>
      <c r="AJ224" s="29" t="n"/>
      <c r="AK224" s="29" t="n"/>
      <c r="AL224" s="29" t="n"/>
    </row>
    <row r="225">
      <c r="A225" s="20">
        <f>IF(B225="","","TR-"&amp;TEXT(ROW()-2,"0000"))</f>
        <v/>
      </c>
      <c r="B225" s="39" t="n"/>
      <c r="C225" s="40" t="n"/>
      <c r="D225" s="40" t="n"/>
      <c r="E225" s="23" t="n"/>
      <c r="F225" s="23" t="n"/>
      <c r="G225" s="23" t="n"/>
      <c r="H225" s="23" t="n"/>
      <c r="I225" s="23" t="n"/>
      <c r="J225" s="23" t="n"/>
      <c r="K225" s="23" t="n"/>
      <c r="L225" s="41" t="n"/>
      <c r="M225" s="41" t="n"/>
      <c r="N225" s="41" t="n"/>
      <c r="O225" s="41" t="n"/>
      <c r="P225" s="41" t="n"/>
      <c r="Q225" s="41" t="n"/>
      <c r="R225" s="23" t="n"/>
      <c r="S225" s="23" t="n"/>
      <c r="T225" s="42">
        <f>IF(OR(L225="",M225=""),"",IFERROR(Settings!$B$3*Settings!$B$5,0))</f>
        <v/>
      </c>
      <c r="U225" s="42">
        <f>IF(OR(L225="",M225="",R225=""),"",ABS(L225-M225)*R225*IF(S225="",1,S225))</f>
        <v/>
      </c>
      <c r="V225" s="26">
        <f>IFERROR(ABS(N225-L225)/ABS(L225-M225),"")</f>
        <v/>
      </c>
      <c r="W225" s="23" t="n"/>
      <c r="X225" s="23" t="n"/>
      <c r="Y225" s="23" t="n"/>
      <c r="Z225" s="23" t="n"/>
      <c r="AA225" s="23" t="n"/>
      <c r="AB225" s="23" t="n"/>
      <c r="AC225" s="23" t="n"/>
      <c r="AD225" s="42">
        <f>IF(OR(L225="",Q225="",R225=""),"",IF(H225="Long",(Q225-L225)*R225*IF(S225="",1,S225),(L225-Q225)*R225*IF(S225="",1,S225)))</f>
        <v/>
      </c>
      <c r="AE225" s="41" t="n"/>
      <c r="AF225" s="41" t="n"/>
      <c r="AG225" s="42">
        <f>IF(AD225="","",AD225-IF(AE225="",0,AE225)-IF(AF225="",0,AF225))</f>
        <v/>
      </c>
      <c r="AH225" s="26">
        <f>IFERROR(AG225/U225,"")</f>
        <v/>
      </c>
      <c r="AI225" s="23" t="n"/>
      <c r="AJ225" s="23" t="n"/>
      <c r="AK225" s="23" t="n"/>
      <c r="AL225" s="23" t="n"/>
    </row>
    <row r="226">
      <c r="A226" s="20">
        <f>IF(B226="","","TR-"&amp;TEXT(ROW()-2,"0000"))</f>
        <v/>
      </c>
      <c r="B226" s="43" t="n"/>
      <c r="C226" s="44" t="n"/>
      <c r="D226" s="44" t="n"/>
      <c r="E226" s="29" t="n"/>
      <c r="F226" s="29" t="n"/>
      <c r="G226" s="29" t="n"/>
      <c r="H226" s="29" t="n"/>
      <c r="I226" s="29" t="n"/>
      <c r="J226" s="29" t="n"/>
      <c r="K226" s="29" t="n"/>
      <c r="L226" s="45" t="n"/>
      <c r="M226" s="45" t="n"/>
      <c r="N226" s="45" t="n"/>
      <c r="O226" s="45" t="n"/>
      <c r="P226" s="45" t="n"/>
      <c r="Q226" s="45" t="n"/>
      <c r="R226" s="29" t="n"/>
      <c r="S226" s="29" t="n"/>
      <c r="T226" s="42">
        <f>IF(OR(L226="",M226=""),"",IFERROR(Settings!$B$3*Settings!$B$5,0))</f>
        <v/>
      </c>
      <c r="U226" s="42">
        <f>IF(OR(L226="",M226="",R226=""),"",ABS(L226-M226)*R226*IF(S226="",1,S226))</f>
        <v/>
      </c>
      <c r="V226" s="26">
        <f>IFERROR(ABS(N226-L226)/ABS(L226-M226),"")</f>
        <v/>
      </c>
      <c r="W226" s="29" t="n"/>
      <c r="X226" s="29" t="n"/>
      <c r="Y226" s="29" t="n"/>
      <c r="Z226" s="29" t="n"/>
      <c r="AA226" s="29" t="n"/>
      <c r="AB226" s="29" t="n"/>
      <c r="AC226" s="29" t="n"/>
      <c r="AD226" s="42">
        <f>IF(OR(L226="",Q226="",R226=""),"",IF(H226="Long",(Q226-L226)*R226*IF(S226="",1,S226),(L226-Q226)*R226*IF(S226="",1,S226)))</f>
        <v/>
      </c>
      <c r="AE226" s="45" t="n"/>
      <c r="AF226" s="45" t="n"/>
      <c r="AG226" s="42">
        <f>IF(AD226="","",AD226-IF(AE226="",0,AE226)-IF(AF226="",0,AF226))</f>
        <v/>
      </c>
      <c r="AH226" s="26">
        <f>IFERROR(AG226/U226,"")</f>
        <v/>
      </c>
      <c r="AI226" s="29" t="n"/>
      <c r="AJ226" s="29" t="n"/>
      <c r="AK226" s="29" t="n"/>
      <c r="AL226" s="29" t="n"/>
    </row>
    <row r="227">
      <c r="A227" s="20">
        <f>IF(B227="","","TR-"&amp;TEXT(ROW()-2,"0000"))</f>
        <v/>
      </c>
      <c r="B227" s="39" t="n"/>
      <c r="C227" s="40" t="n"/>
      <c r="D227" s="40" t="n"/>
      <c r="E227" s="23" t="n"/>
      <c r="F227" s="23" t="n"/>
      <c r="G227" s="23" t="n"/>
      <c r="H227" s="23" t="n"/>
      <c r="I227" s="23" t="n"/>
      <c r="J227" s="23" t="n"/>
      <c r="K227" s="23" t="n"/>
      <c r="L227" s="41" t="n"/>
      <c r="M227" s="41" t="n"/>
      <c r="N227" s="41" t="n"/>
      <c r="O227" s="41" t="n"/>
      <c r="P227" s="41" t="n"/>
      <c r="Q227" s="41" t="n"/>
      <c r="R227" s="23" t="n"/>
      <c r="S227" s="23" t="n"/>
      <c r="T227" s="42">
        <f>IF(OR(L227="",M227=""),"",IFERROR(Settings!$B$3*Settings!$B$5,0))</f>
        <v/>
      </c>
      <c r="U227" s="42">
        <f>IF(OR(L227="",M227="",R227=""),"",ABS(L227-M227)*R227*IF(S227="",1,S227))</f>
        <v/>
      </c>
      <c r="V227" s="26">
        <f>IFERROR(ABS(N227-L227)/ABS(L227-M227),"")</f>
        <v/>
      </c>
      <c r="W227" s="23" t="n"/>
      <c r="X227" s="23" t="n"/>
      <c r="Y227" s="23" t="n"/>
      <c r="Z227" s="23" t="n"/>
      <c r="AA227" s="23" t="n"/>
      <c r="AB227" s="23" t="n"/>
      <c r="AC227" s="23" t="n"/>
      <c r="AD227" s="42">
        <f>IF(OR(L227="",Q227="",R227=""),"",IF(H227="Long",(Q227-L227)*R227*IF(S227="",1,S227),(L227-Q227)*R227*IF(S227="",1,S227)))</f>
        <v/>
      </c>
      <c r="AE227" s="41" t="n"/>
      <c r="AF227" s="41" t="n"/>
      <c r="AG227" s="42">
        <f>IF(AD227="","",AD227-IF(AE227="",0,AE227)-IF(AF227="",0,AF227))</f>
        <v/>
      </c>
      <c r="AH227" s="26">
        <f>IFERROR(AG227/U227,"")</f>
        <v/>
      </c>
      <c r="AI227" s="23" t="n"/>
      <c r="AJ227" s="23" t="n"/>
      <c r="AK227" s="23" t="n"/>
      <c r="AL227" s="23" t="n"/>
    </row>
    <row r="228">
      <c r="A228" s="20">
        <f>IF(B228="","","TR-"&amp;TEXT(ROW()-2,"0000"))</f>
        <v/>
      </c>
      <c r="B228" s="43" t="n"/>
      <c r="C228" s="44" t="n"/>
      <c r="D228" s="44" t="n"/>
      <c r="E228" s="29" t="n"/>
      <c r="F228" s="29" t="n"/>
      <c r="G228" s="29" t="n"/>
      <c r="H228" s="29" t="n"/>
      <c r="I228" s="29" t="n"/>
      <c r="J228" s="29" t="n"/>
      <c r="K228" s="29" t="n"/>
      <c r="L228" s="45" t="n"/>
      <c r="M228" s="45" t="n"/>
      <c r="N228" s="45" t="n"/>
      <c r="O228" s="45" t="n"/>
      <c r="P228" s="45" t="n"/>
      <c r="Q228" s="45" t="n"/>
      <c r="R228" s="29" t="n"/>
      <c r="S228" s="29" t="n"/>
      <c r="T228" s="42">
        <f>IF(OR(L228="",M228=""),"",IFERROR(Settings!$B$3*Settings!$B$5,0))</f>
        <v/>
      </c>
      <c r="U228" s="42">
        <f>IF(OR(L228="",M228="",R228=""),"",ABS(L228-M228)*R228*IF(S228="",1,S228))</f>
        <v/>
      </c>
      <c r="V228" s="26">
        <f>IFERROR(ABS(N228-L228)/ABS(L228-M228),"")</f>
        <v/>
      </c>
      <c r="W228" s="29" t="n"/>
      <c r="X228" s="29" t="n"/>
      <c r="Y228" s="29" t="n"/>
      <c r="Z228" s="29" t="n"/>
      <c r="AA228" s="29" t="n"/>
      <c r="AB228" s="29" t="n"/>
      <c r="AC228" s="29" t="n"/>
      <c r="AD228" s="42">
        <f>IF(OR(L228="",Q228="",R228=""),"",IF(H228="Long",(Q228-L228)*R228*IF(S228="",1,S228),(L228-Q228)*R228*IF(S228="",1,S228)))</f>
        <v/>
      </c>
      <c r="AE228" s="45" t="n"/>
      <c r="AF228" s="45" t="n"/>
      <c r="AG228" s="42">
        <f>IF(AD228="","",AD228-IF(AE228="",0,AE228)-IF(AF228="",0,AF228))</f>
        <v/>
      </c>
      <c r="AH228" s="26">
        <f>IFERROR(AG228/U228,"")</f>
        <v/>
      </c>
      <c r="AI228" s="29" t="n"/>
      <c r="AJ228" s="29" t="n"/>
      <c r="AK228" s="29" t="n"/>
      <c r="AL228" s="29" t="n"/>
    </row>
    <row r="229">
      <c r="A229" s="20">
        <f>IF(B229="","","TR-"&amp;TEXT(ROW()-2,"0000"))</f>
        <v/>
      </c>
      <c r="B229" s="39" t="n"/>
      <c r="C229" s="40" t="n"/>
      <c r="D229" s="40" t="n"/>
      <c r="E229" s="23" t="n"/>
      <c r="F229" s="23" t="n"/>
      <c r="G229" s="23" t="n"/>
      <c r="H229" s="23" t="n"/>
      <c r="I229" s="23" t="n"/>
      <c r="J229" s="23" t="n"/>
      <c r="K229" s="23" t="n"/>
      <c r="L229" s="41" t="n"/>
      <c r="M229" s="41" t="n"/>
      <c r="N229" s="41" t="n"/>
      <c r="O229" s="41" t="n"/>
      <c r="P229" s="41" t="n"/>
      <c r="Q229" s="41" t="n"/>
      <c r="R229" s="23" t="n"/>
      <c r="S229" s="23" t="n"/>
      <c r="T229" s="42">
        <f>IF(OR(L229="",M229=""),"",IFERROR(Settings!$B$3*Settings!$B$5,0))</f>
        <v/>
      </c>
      <c r="U229" s="42">
        <f>IF(OR(L229="",M229="",R229=""),"",ABS(L229-M229)*R229*IF(S229="",1,S229))</f>
        <v/>
      </c>
      <c r="V229" s="26">
        <f>IFERROR(ABS(N229-L229)/ABS(L229-M229),"")</f>
        <v/>
      </c>
      <c r="W229" s="23" t="n"/>
      <c r="X229" s="23" t="n"/>
      <c r="Y229" s="23" t="n"/>
      <c r="Z229" s="23" t="n"/>
      <c r="AA229" s="23" t="n"/>
      <c r="AB229" s="23" t="n"/>
      <c r="AC229" s="23" t="n"/>
      <c r="AD229" s="42">
        <f>IF(OR(L229="",Q229="",R229=""),"",IF(H229="Long",(Q229-L229)*R229*IF(S229="",1,S229),(L229-Q229)*R229*IF(S229="",1,S229)))</f>
        <v/>
      </c>
      <c r="AE229" s="41" t="n"/>
      <c r="AF229" s="41" t="n"/>
      <c r="AG229" s="42">
        <f>IF(AD229="","",AD229-IF(AE229="",0,AE229)-IF(AF229="",0,AF229))</f>
        <v/>
      </c>
      <c r="AH229" s="26">
        <f>IFERROR(AG229/U229,"")</f>
        <v/>
      </c>
      <c r="AI229" s="23" t="n"/>
      <c r="AJ229" s="23" t="n"/>
      <c r="AK229" s="23" t="n"/>
      <c r="AL229" s="23" t="n"/>
    </row>
    <row r="230">
      <c r="A230" s="20">
        <f>IF(B230="","","TR-"&amp;TEXT(ROW()-2,"0000"))</f>
        <v/>
      </c>
      <c r="B230" s="43" t="n"/>
      <c r="C230" s="44" t="n"/>
      <c r="D230" s="44" t="n"/>
      <c r="E230" s="29" t="n"/>
      <c r="F230" s="29" t="n"/>
      <c r="G230" s="29" t="n"/>
      <c r="H230" s="29" t="n"/>
      <c r="I230" s="29" t="n"/>
      <c r="J230" s="29" t="n"/>
      <c r="K230" s="29" t="n"/>
      <c r="L230" s="45" t="n"/>
      <c r="M230" s="45" t="n"/>
      <c r="N230" s="45" t="n"/>
      <c r="O230" s="45" t="n"/>
      <c r="P230" s="45" t="n"/>
      <c r="Q230" s="45" t="n"/>
      <c r="R230" s="29" t="n"/>
      <c r="S230" s="29" t="n"/>
      <c r="T230" s="42">
        <f>IF(OR(L230="",M230=""),"",IFERROR(Settings!$B$3*Settings!$B$5,0))</f>
        <v/>
      </c>
      <c r="U230" s="42">
        <f>IF(OR(L230="",M230="",R230=""),"",ABS(L230-M230)*R230*IF(S230="",1,S230))</f>
        <v/>
      </c>
      <c r="V230" s="26">
        <f>IFERROR(ABS(N230-L230)/ABS(L230-M230),"")</f>
        <v/>
      </c>
      <c r="W230" s="29" t="n"/>
      <c r="X230" s="29" t="n"/>
      <c r="Y230" s="29" t="n"/>
      <c r="Z230" s="29" t="n"/>
      <c r="AA230" s="29" t="n"/>
      <c r="AB230" s="29" t="n"/>
      <c r="AC230" s="29" t="n"/>
      <c r="AD230" s="42">
        <f>IF(OR(L230="",Q230="",R230=""),"",IF(H230="Long",(Q230-L230)*R230*IF(S230="",1,S230),(L230-Q230)*R230*IF(S230="",1,S230)))</f>
        <v/>
      </c>
      <c r="AE230" s="45" t="n"/>
      <c r="AF230" s="45" t="n"/>
      <c r="AG230" s="42">
        <f>IF(AD230="","",AD230-IF(AE230="",0,AE230)-IF(AF230="",0,AF230))</f>
        <v/>
      </c>
      <c r="AH230" s="26">
        <f>IFERROR(AG230/U230,"")</f>
        <v/>
      </c>
      <c r="AI230" s="29" t="n"/>
      <c r="AJ230" s="29" t="n"/>
      <c r="AK230" s="29" t="n"/>
      <c r="AL230" s="29" t="n"/>
    </row>
    <row r="231">
      <c r="A231" s="20">
        <f>IF(B231="","","TR-"&amp;TEXT(ROW()-2,"0000"))</f>
        <v/>
      </c>
      <c r="B231" s="39" t="n"/>
      <c r="C231" s="40" t="n"/>
      <c r="D231" s="40" t="n"/>
      <c r="E231" s="23" t="n"/>
      <c r="F231" s="23" t="n"/>
      <c r="G231" s="23" t="n"/>
      <c r="H231" s="23" t="n"/>
      <c r="I231" s="23" t="n"/>
      <c r="J231" s="23" t="n"/>
      <c r="K231" s="23" t="n"/>
      <c r="L231" s="41" t="n"/>
      <c r="M231" s="41" t="n"/>
      <c r="N231" s="41" t="n"/>
      <c r="O231" s="41" t="n"/>
      <c r="P231" s="41" t="n"/>
      <c r="Q231" s="41" t="n"/>
      <c r="R231" s="23" t="n"/>
      <c r="S231" s="23" t="n"/>
      <c r="T231" s="42">
        <f>IF(OR(L231="",M231=""),"",IFERROR(Settings!$B$3*Settings!$B$5,0))</f>
        <v/>
      </c>
      <c r="U231" s="42">
        <f>IF(OR(L231="",M231="",R231=""),"",ABS(L231-M231)*R231*IF(S231="",1,S231))</f>
        <v/>
      </c>
      <c r="V231" s="26">
        <f>IFERROR(ABS(N231-L231)/ABS(L231-M231),"")</f>
        <v/>
      </c>
      <c r="W231" s="23" t="n"/>
      <c r="X231" s="23" t="n"/>
      <c r="Y231" s="23" t="n"/>
      <c r="Z231" s="23" t="n"/>
      <c r="AA231" s="23" t="n"/>
      <c r="AB231" s="23" t="n"/>
      <c r="AC231" s="23" t="n"/>
      <c r="AD231" s="42">
        <f>IF(OR(L231="",Q231="",R231=""),"",IF(H231="Long",(Q231-L231)*R231*IF(S231="",1,S231),(L231-Q231)*R231*IF(S231="",1,S231)))</f>
        <v/>
      </c>
      <c r="AE231" s="41" t="n"/>
      <c r="AF231" s="41" t="n"/>
      <c r="AG231" s="42">
        <f>IF(AD231="","",AD231-IF(AE231="",0,AE231)-IF(AF231="",0,AF231))</f>
        <v/>
      </c>
      <c r="AH231" s="26">
        <f>IFERROR(AG231/U231,"")</f>
        <v/>
      </c>
      <c r="AI231" s="23" t="n"/>
      <c r="AJ231" s="23" t="n"/>
      <c r="AK231" s="23" t="n"/>
      <c r="AL231" s="23" t="n"/>
    </row>
    <row r="232">
      <c r="A232" s="20">
        <f>IF(B232="","","TR-"&amp;TEXT(ROW()-2,"0000"))</f>
        <v/>
      </c>
      <c r="B232" s="43" t="n"/>
      <c r="C232" s="44" t="n"/>
      <c r="D232" s="44" t="n"/>
      <c r="E232" s="29" t="n"/>
      <c r="F232" s="29" t="n"/>
      <c r="G232" s="29" t="n"/>
      <c r="H232" s="29" t="n"/>
      <c r="I232" s="29" t="n"/>
      <c r="J232" s="29" t="n"/>
      <c r="K232" s="29" t="n"/>
      <c r="L232" s="45" t="n"/>
      <c r="M232" s="45" t="n"/>
      <c r="N232" s="45" t="n"/>
      <c r="O232" s="45" t="n"/>
      <c r="P232" s="45" t="n"/>
      <c r="Q232" s="45" t="n"/>
      <c r="R232" s="29" t="n"/>
      <c r="S232" s="29" t="n"/>
      <c r="T232" s="42">
        <f>IF(OR(L232="",M232=""),"",IFERROR(Settings!$B$3*Settings!$B$5,0))</f>
        <v/>
      </c>
      <c r="U232" s="42">
        <f>IF(OR(L232="",M232="",R232=""),"",ABS(L232-M232)*R232*IF(S232="",1,S232))</f>
        <v/>
      </c>
      <c r="V232" s="26">
        <f>IFERROR(ABS(N232-L232)/ABS(L232-M232),"")</f>
        <v/>
      </c>
      <c r="W232" s="29" t="n"/>
      <c r="X232" s="29" t="n"/>
      <c r="Y232" s="29" t="n"/>
      <c r="Z232" s="29" t="n"/>
      <c r="AA232" s="29" t="n"/>
      <c r="AB232" s="29" t="n"/>
      <c r="AC232" s="29" t="n"/>
      <c r="AD232" s="42">
        <f>IF(OR(L232="",Q232="",R232=""),"",IF(H232="Long",(Q232-L232)*R232*IF(S232="",1,S232),(L232-Q232)*R232*IF(S232="",1,S232)))</f>
        <v/>
      </c>
      <c r="AE232" s="45" t="n"/>
      <c r="AF232" s="45" t="n"/>
      <c r="AG232" s="42">
        <f>IF(AD232="","",AD232-IF(AE232="",0,AE232)-IF(AF232="",0,AF232))</f>
        <v/>
      </c>
      <c r="AH232" s="26">
        <f>IFERROR(AG232/U232,"")</f>
        <v/>
      </c>
      <c r="AI232" s="29" t="n"/>
      <c r="AJ232" s="29" t="n"/>
      <c r="AK232" s="29" t="n"/>
      <c r="AL232" s="29" t="n"/>
    </row>
    <row r="233">
      <c r="A233" s="20">
        <f>IF(B233="","","TR-"&amp;TEXT(ROW()-2,"0000"))</f>
        <v/>
      </c>
      <c r="B233" s="39" t="n"/>
      <c r="C233" s="40" t="n"/>
      <c r="D233" s="40" t="n"/>
      <c r="E233" s="23" t="n"/>
      <c r="F233" s="23" t="n"/>
      <c r="G233" s="23" t="n"/>
      <c r="H233" s="23" t="n"/>
      <c r="I233" s="23" t="n"/>
      <c r="J233" s="23" t="n"/>
      <c r="K233" s="23" t="n"/>
      <c r="L233" s="41" t="n"/>
      <c r="M233" s="41" t="n"/>
      <c r="N233" s="41" t="n"/>
      <c r="O233" s="41" t="n"/>
      <c r="P233" s="41" t="n"/>
      <c r="Q233" s="41" t="n"/>
      <c r="R233" s="23" t="n"/>
      <c r="S233" s="23" t="n"/>
      <c r="T233" s="42">
        <f>IF(OR(L233="",M233=""),"",IFERROR(Settings!$B$3*Settings!$B$5,0))</f>
        <v/>
      </c>
      <c r="U233" s="42">
        <f>IF(OR(L233="",M233="",R233=""),"",ABS(L233-M233)*R233*IF(S233="",1,S233))</f>
        <v/>
      </c>
      <c r="V233" s="26">
        <f>IFERROR(ABS(N233-L233)/ABS(L233-M233),"")</f>
        <v/>
      </c>
      <c r="W233" s="23" t="n"/>
      <c r="X233" s="23" t="n"/>
      <c r="Y233" s="23" t="n"/>
      <c r="Z233" s="23" t="n"/>
      <c r="AA233" s="23" t="n"/>
      <c r="AB233" s="23" t="n"/>
      <c r="AC233" s="23" t="n"/>
      <c r="AD233" s="42">
        <f>IF(OR(L233="",Q233="",R233=""),"",IF(H233="Long",(Q233-L233)*R233*IF(S233="",1,S233),(L233-Q233)*R233*IF(S233="",1,S233)))</f>
        <v/>
      </c>
      <c r="AE233" s="41" t="n"/>
      <c r="AF233" s="41" t="n"/>
      <c r="AG233" s="42">
        <f>IF(AD233="","",AD233-IF(AE233="",0,AE233)-IF(AF233="",0,AF233))</f>
        <v/>
      </c>
      <c r="AH233" s="26">
        <f>IFERROR(AG233/U233,"")</f>
        <v/>
      </c>
      <c r="AI233" s="23" t="n"/>
      <c r="AJ233" s="23" t="n"/>
      <c r="AK233" s="23" t="n"/>
      <c r="AL233" s="23" t="n"/>
    </row>
    <row r="234">
      <c r="A234" s="20">
        <f>IF(B234="","","TR-"&amp;TEXT(ROW()-2,"0000"))</f>
        <v/>
      </c>
      <c r="B234" s="43" t="n"/>
      <c r="C234" s="44" t="n"/>
      <c r="D234" s="44" t="n"/>
      <c r="E234" s="29" t="n"/>
      <c r="F234" s="29" t="n"/>
      <c r="G234" s="29" t="n"/>
      <c r="H234" s="29" t="n"/>
      <c r="I234" s="29" t="n"/>
      <c r="J234" s="29" t="n"/>
      <c r="K234" s="29" t="n"/>
      <c r="L234" s="45" t="n"/>
      <c r="M234" s="45" t="n"/>
      <c r="N234" s="45" t="n"/>
      <c r="O234" s="45" t="n"/>
      <c r="P234" s="45" t="n"/>
      <c r="Q234" s="45" t="n"/>
      <c r="R234" s="29" t="n"/>
      <c r="S234" s="29" t="n"/>
      <c r="T234" s="42">
        <f>IF(OR(L234="",M234=""),"",IFERROR(Settings!$B$3*Settings!$B$5,0))</f>
        <v/>
      </c>
      <c r="U234" s="42">
        <f>IF(OR(L234="",M234="",R234=""),"",ABS(L234-M234)*R234*IF(S234="",1,S234))</f>
        <v/>
      </c>
      <c r="V234" s="26">
        <f>IFERROR(ABS(N234-L234)/ABS(L234-M234),"")</f>
        <v/>
      </c>
      <c r="W234" s="29" t="n"/>
      <c r="X234" s="29" t="n"/>
      <c r="Y234" s="29" t="n"/>
      <c r="Z234" s="29" t="n"/>
      <c r="AA234" s="29" t="n"/>
      <c r="AB234" s="29" t="n"/>
      <c r="AC234" s="29" t="n"/>
      <c r="AD234" s="42">
        <f>IF(OR(L234="",Q234="",R234=""),"",IF(H234="Long",(Q234-L234)*R234*IF(S234="",1,S234),(L234-Q234)*R234*IF(S234="",1,S234)))</f>
        <v/>
      </c>
      <c r="AE234" s="45" t="n"/>
      <c r="AF234" s="45" t="n"/>
      <c r="AG234" s="42">
        <f>IF(AD234="","",AD234-IF(AE234="",0,AE234)-IF(AF234="",0,AF234))</f>
        <v/>
      </c>
      <c r="AH234" s="26">
        <f>IFERROR(AG234/U234,"")</f>
        <v/>
      </c>
      <c r="AI234" s="29" t="n"/>
      <c r="AJ234" s="29" t="n"/>
      <c r="AK234" s="29" t="n"/>
      <c r="AL234" s="29" t="n"/>
    </row>
    <row r="235">
      <c r="A235" s="20">
        <f>IF(B235="","","TR-"&amp;TEXT(ROW()-2,"0000"))</f>
        <v/>
      </c>
      <c r="B235" s="39" t="n"/>
      <c r="C235" s="40" t="n"/>
      <c r="D235" s="40" t="n"/>
      <c r="E235" s="23" t="n"/>
      <c r="F235" s="23" t="n"/>
      <c r="G235" s="23" t="n"/>
      <c r="H235" s="23" t="n"/>
      <c r="I235" s="23" t="n"/>
      <c r="J235" s="23" t="n"/>
      <c r="K235" s="23" t="n"/>
      <c r="L235" s="41" t="n"/>
      <c r="M235" s="41" t="n"/>
      <c r="N235" s="41" t="n"/>
      <c r="O235" s="41" t="n"/>
      <c r="P235" s="41" t="n"/>
      <c r="Q235" s="41" t="n"/>
      <c r="R235" s="23" t="n"/>
      <c r="S235" s="23" t="n"/>
      <c r="T235" s="42">
        <f>IF(OR(L235="",M235=""),"",IFERROR(Settings!$B$3*Settings!$B$5,0))</f>
        <v/>
      </c>
      <c r="U235" s="42">
        <f>IF(OR(L235="",M235="",R235=""),"",ABS(L235-M235)*R235*IF(S235="",1,S235))</f>
        <v/>
      </c>
      <c r="V235" s="26">
        <f>IFERROR(ABS(N235-L235)/ABS(L235-M235),"")</f>
        <v/>
      </c>
      <c r="W235" s="23" t="n"/>
      <c r="X235" s="23" t="n"/>
      <c r="Y235" s="23" t="n"/>
      <c r="Z235" s="23" t="n"/>
      <c r="AA235" s="23" t="n"/>
      <c r="AB235" s="23" t="n"/>
      <c r="AC235" s="23" t="n"/>
      <c r="AD235" s="42">
        <f>IF(OR(L235="",Q235="",R235=""),"",IF(H235="Long",(Q235-L235)*R235*IF(S235="",1,S235),(L235-Q235)*R235*IF(S235="",1,S235)))</f>
        <v/>
      </c>
      <c r="AE235" s="41" t="n"/>
      <c r="AF235" s="41" t="n"/>
      <c r="AG235" s="42">
        <f>IF(AD235="","",AD235-IF(AE235="",0,AE235)-IF(AF235="",0,AF235))</f>
        <v/>
      </c>
      <c r="AH235" s="26">
        <f>IFERROR(AG235/U235,"")</f>
        <v/>
      </c>
      <c r="AI235" s="23" t="n"/>
      <c r="AJ235" s="23" t="n"/>
      <c r="AK235" s="23" t="n"/>
      <c r="AL235" s="23" t="n"/>
    </row>
    <row r="236">
      <c r="A236" s="20">
        <f>IF(B236="","","TR-"&amp;TEXT(ROW()-2,"0000"))</f>
        <v/>
      </c>
      <c r="B236" s="43" t="n"/>
      <c r="C236" s="44" t="n"/>
      <c r="D236" s="44" t="n"/>
      <c r="E236" s="29" t="n"/>
      <c r="F236" s="29" t="n"/>
      <c r="G236" s="29" t="n"/>
      <c r="H236" s="29" t="n"/>
      <c r="I236" s="29" t="n"/>
      <c r="J236" s="29" t="n"/>
      <c r="K236" s="29" t="n"/>
      <c r="L236" s="45" t="n"/>
      <c r="M236" s="45" t="n"/>
      <c r="N236" s="45" t="n"/>
      <c r="O236" s="45" t="n"/>
      <c r="P236" s="45" t="n"/>
      <c r="Q236" s="45" t="n"/>
      <c r="R236" s="29" t="n"/>
      <c r="S236" s="29" t="n"/>
      <c r="T236" s="42">
        <f>IF(OR(L236="",M236=""),"",IFERROR(Settings!$B$3*Settings!$B$5,0))</f>
        <v/>
      </c>
      <c r="U236" s="42">
        <f>IF(OR(L236="",M236="",R236=""),"",ABS(L236-M236)*R236*IF(S236="",1,S236))</f>
        <v/>
      </c>
      <c r="V236" s="26">
        <f>IFERROR(ABS(N236-L236)/ABS(L236-M236),"")</f>
        <v/>
      </c>
      <c r="W236" s="29" t="n"/>
      <c r="X236" s="29" t="n"/>
      <c r="Y236" s="29" t="n"/>
      <c r="Z236" s="29" t="n"/>
      <c r="AA236" s="29" t="n"/>
      <c r="AB236" s="29" t="n"/>
      <c r="AC236" s="29" t="n"/>
      <c r="AD236" s="42">
        <f>IF(OR(L236="",Q236="",R236=""),"",IF(H236="Long",(Q236-L236)*R236*IF(S236="",1,S236),(L236-Q236)*R236*IF(S236="",1,S236)))</f>
        <v/>
      </c>
      <c r="AE236" s="45" t="n"/>
      <c r="AF236" s="45" t="n"/>
      <c r="AG236" s="42">
        <f>IF(AD236="","",AD236-IF(AE236="",0,AE236)-IF(AF236="",0,AF236))</f>
        <v/>
      </c>
      <c r="AH236" s="26">
        <f>IFERROR(AG236/U236,"")</f>
        <v/>
      </c>
      <c r="AI236" s="29" t="n"/>
      <c r="AJ236" s="29" t="n"/>
      <c r="AK236" s="29" t="n"/>
      <c r="AL236" s="29" t="n"/>
    </row>
    <row r="237">
      <c r="A237" s="20">
        <f>IF(B237="","","TR-"&amp;TEXT(ROW()-2,"0000"))</f>
        <v/>
      </c>
      <c r="B237" s="39" t="n"/>
      <c r="C237" s="40" t="n"/>
      <c r="D237" s="40" t="n"/>
      <c r="E237" s="23" t="n"/>
      <c r="F237" s="23" t="n"/>
      <c r="G237" s="23" t="n"/>
      <c r="H237" s="23" t="n"/>
      <c r="I237" s="23" t="n"/>
      <c r="J237" s="23" t="n"/>
      <c r="K237" s="23" t="n"/>
      <c r="L237" s="41" t="n"/>
      <c r="M237" s="41" t="n"/>
      <c r="N237" s="41" t="n"/>
      <c r="O237" s="41" t="n"/>
      <c r="P237" s="41" t="n"/>
      <c r="Q237" s="41" t="n"/>
      <c r="R237" s="23" t="n"/>
      <c r="S237" s="23" t="n"/>
      <c r="T237" s="42">
        <f>IF(OR(L237="",M237=""),"",IFERROR(Settings!$B$3*Settings!$B$5,0))</f>
        <v/>
      </c>
      <c r="U237" s="42">
        <f>IF(OR(L237="",M237="",R237=""),"",ABS(L237-M237)*R237*IF(S237="",1,S237))</f>
        <v/>
      </c>
      <c r="V237" s="26">
        <f>IFERROR(ABS(N237-L237)/ABS(L237-M237),"")</f>
        <v/>
      </c>
      <c r="W237" s="23" t="n"/>
      <c r="X237" s="23" t="n"/>
      <c r="Y237" s="23" t="n"/>
      <c r="Z237" s="23" t="n"/>
      <c r="AA237" s="23" t="n"/>
      <c r="AB237" s="23" t="n"/>
      <c r="AC237" s="23" t="n"/>
      <c r="AD237" s="42">
        <f>IF(OR(L237="",Q237="",R237=""),"",IF(H237="Long",(Q237-L237)*R237*IF(S237="",1,S237),(L237-Q237)*R237*IF(S237="",1,S237)))</f>
        <v/>
      </c>
      <c r="AE237" s="41" t="n"/>
      <c r="AF237" s="41" t="n"/>
      <c r="AG237" s="42">
        <f>IF(AD237="","",AD237-IF(AE237="",0,AE237)-IF(AF237="",0,AF237))</f>
        <v/>
      </c>
      <c r="AH237" s="26">
        <f>IFERROR(AG237/U237,"")</f>
        <v/>
      </c>
      <c r="AI237" s="23" t="n"/>
      <c r="AJ237" s="23" t="n"/>
      <c r="AK237" s="23" t="n"/>
      <c r="AL237" s="23" t="n"/>
    </row>
    <row r="238">
      <c r="A238" s="20">
        <f>IF(B238="","","TR-"&amp;TEXT(ROW()-2,"0000"))</f>
        <v/>
      </c>
      <c r="B238" s="43" t="n"/>
      <c r="C238" s="44" t="n"/>
      <c r="D238" s="44" t="n"/>
      <c r="E238" s="29" t="n"/>
      <c r="F238" s="29" t="n"/>
      <c r="G238" s="29" t="n"/>
      <c r="H238" s="29" t="n"/>
      <c r="I238" s="29" t="n"/>
      <c r="J238" s="29" t="n"/>
      <c r="K238" s="29" t="n"/>
      <c r="L238" s="45" t="n"/>
      <c r="M238" s="45" t="n"/>
      <c r="N238" s="45" t="n"/>
      <c r="O238" s="45" t="n"/>
      <c r="P238" s="45" t="n"/>
      <c r="Q238" s="45" t="n"/>
      <c r="R238" s="29" t="n"/>
      <c r="S238" s="29" t="n"/>
      <c r="T238" s="42">
        <f>IF(OR(L238="",M238=""),"",IFERROR(Settings!$B$3*Settings!$B$5,0))</f>
        <v/>
      </c>
      <c r="U238" s="42">
        <f>IF(OR(L238="",M238="",R238=""),"",ABS(L238-M238)*R238*IF(S238="",1,S238))</f>
        <v/>
      </c>
      <c r="V238" s="26">
        <f>IFERROR(ABS(N238-L238)/ABS(L238-M238),"")</f>
        <v/>
      </c>
      <c r="W238" s="29" t="n"/>
      <c r="X238" s="29" t="n"/>
      <c r="Y238" s="29" t="n"/>
      <c r="Z238" s="29" t="n"/>
      <c r="AA238" s="29" t="n"/>
      <c r="AB238" s="29" t="n"/>
      <c r="AC238" s="29" t="n"/>
      <c r="AD238" s="42">
        <f>IF(OR(L238="",Q238="",R238=""),"",IF(H238="Long",(Q238-L238)*R238*IF(S238="",1,S238),(L238-Q238)*R238*IF(S238="",1,S238)))</f>
        <v/>
      </c>
      <c r="AE238" s="45" t="n"/>
      <c r="AF238" s="45" t="n"/>
      <c r="AG238" s="42">
        <f>IF(AD238="","",AD238-IF(AE238="",0,AE238)-IF(AF238="",0,AF238))</f>
        <v/>
      </c>
      <c r="AH238" s="26">
        <f>IFERROR(AG238/U238,"")</f>
        <v/>
      </c>
      <c r="AI238" s="29" t="n"/>
      <c r="AJ238" s="29" t="n"/>
      <c r="AK238" s="29" t="n"/>
      <c r="AL238" s="29" t="n"/>
    </row>
    <row r="239">
      <c r="A239" s="20">
        <f>IF(B239="","","TR-"&amp;TEXT(ROW()-2,"0000"))</f>
        <v/>
      </c>
      <c r="B239" s="39" t="n"/>
      <c r="C239" s="40" t="n"/>
      <c r="D239" s="40" t="n"/>
      <c r="E239" s="23" t="n"/>
      <c r="F239" s="23" t="n"/>
      <c r="G239" s="23" t="n"/>
      <c r="H239" s="23" t="n"/>
      <c r="I239" s="23" t="n"/>
      <c r="J239" s="23" t="n"/>
      <c r="K239" s="23" t="n"/>
      <c r="L239" s="41" t="n"/>
      <c r="M239" s="41" t="n"/>
      <c r="N239" s="41" t="n"/>
      <c r="O239" s="41" t="n"/>
      <c r="P239" s="41" t="n"/>
      <c r="Q239" s="41" t="n"/>
      <c r="R239" s="23" t="n"/>
      <c r="S239" s="23" t="n"/>
      <c r="T239" s="42">
        <f>IF(OR(L239="",M239=""),"",IFERROR(Settings!$B$3*Settings!$B$5,0))</f>
        <v/>
      </c>
      <c r="U239" s="42">
        <f>IF(OR(L239="",M239="",R239=""),"",ABS(L239-M239)*R239*IF(S239="",1,S239))</f>
        <v/>
      </c>
      <c r="V239" s="26">
        <f>IFERROR(ABS(N239-L239)/ABS(L239-M239),"")</f>
        <v/>
      </c>
      <c r="W239" s="23" t="n"/>
      <c r="X239" s="23" t="n"/>
      <c r="Y239" s="23" t="n"/>
      <c r="Z239" s="23" t="n"/>
      <c r="AA239" s="23" t="n"/>
      <c r="AB239" s="23" t="n"/>
      <c r="AC239" s="23" t="n"/>
      <c r="AD239" s="42">
        <f>IF(OR(L239="",Q239="",R239=""),"",IF(H239="Long",(Q239-L239)*R239*IF(S239="",1,S239),(L239-Q239)*R239*IF(S239="",1,S239)))</f>
        <v/>
      </c>
      <c r="AE239" s="41" t="n"/>
      <c r="AF239" s="41" t="n"/>
      <c r="AG239" s="42">
        <f>IF(AD239="","",AD239-IF(AE239="",0,AE239)-IF(AF239="",0,AF239))</f>
        <v/>
      </c>
      <c r="AH239" s="26">
        <f>IFERROR(AG239/U239,"")</f>
        <v/>
      </c>
      <c r="AI239" s="23" t="n"/>
      <c r="AJ239" s="23" t="n"/>
      <c r="AK239" s="23" t="n"/>
      <c r="AL239" s="23" t="n"/>
    </row>
    <row r="240">
      <c r="A240" s="20">
        <f>IF(B240="","","TR-"&amp;TEXT(ROW()-2,"0000"))</f>
        <v/>
      </c>
      <c r="B240" s="43" t="n"/>
      <c r="C240" s="44" t="n"/>
      <c r="D240" s="44" t="n"/>
      <c r="E240" s="29" t="n"/>
      <c r="F240" s="29" t="n"/>
      <c r="G240" s="29" t="n"/>
      <c r="H240" s="29" t="n"/>
      <c r="I240" s="29" t="n"/>
      <c r="J240" s="29" t="n"/>
      <c r="K240" s="29" t="n"/>
      <c r="L240" s="45" t="n"/>
      <c r="M240" s="45" t="n"/>
      <c r="N240" s="45" t="n"/>
      <c r="O240" s="45" t="n"/>
      <c r="P240" s="45" t="n"/>
      <c r="Q240" s="45" t="n"/>
      <c r="R240" s="29" t="n"/>
      <c r="S240" s="29" t="n"/>
      <c r="T240" s="42">
        <f>IF(OR(L240="",M240=""),"",IFERROR(Settings!$B$3*Settings!$B$5,0))</f>
        <v/>
      </c>
      <c r="U240" s="42">
        <f>IF(OR(L240="",M240="",R240=""),"",ABS(L240-M240)*R240*IF(S240="",1,S240))</f>
        <v/>
      </c>
      <c r="V240" s="26">
        <f>IFERROR(ABS(N240-L240)/ABS(L240-M240),"")</f>
        <v/>
      </c>
      <c r="W240" s="29" t="n"/>
      <c r="X240" s="29" t="n"/>
      <c r="Y240" s="29" t="n"/>
      <c r="Z240" s="29" t="n"/>
      <c r="AA240" s="29" t="n"/>
      <c r="AB240" s="29" t="n"/>
      <c r="AC240" s="29" t="n"/>
      <c r="AD240" s="42">
        <f>IF(OR(L240="",Q240="",R240=""),"",IF(H240="Long",(Q240-L240)*R240*IF(S240="",1,S240),(L240-Q240)*R240*IF(S240="",1,S240)))</f>
        <v/>
      </c>
      <c r="AE240" s="45" t="n"/>
      <c r="AF240" s="45" t="n"/>
      <c r="AG240" s="42">
        <f>IF(AD240="","",AD240-IF(AE240="",0,AE240)-IF(AF240="",0,AF240))</f>
        <v/>
      </c>
      <c r="AH240" s="26">
        <f>IFERROR(AG240/U240,"")</f>
        <v/>
      </c>
      <c r="AI240" s="29" t="n"/>
      <c r="AJ240" s="29" t="n"/>
      <c r="AK240" s="29" t="n"/>
      <c r="AL240" s="29" t="n"/>
    </row>
    <row r="241">
      <c r="A241" s="20">
        <f>IF(B241="","","TR-"&amp;TEXT(ROW()-2,"0000"))</f>
        <v/>
      </c>
      <c r="B241" s="39" t="n"/>
      <c r="C241" s="40" t="n"/>
      <c r="D241" s="40" t="n"/>
      <c r="E241" s="23" t="n"/>
      <c r="F241" s="23" t="n"/>
      <c r="G241" s="23" t="n"/>
      <c r="H241" s="23" t="n"/>
      <c r="I241" s="23" t="n"/>
      <c r="J241" s="23" t="n"/>
      <c r="K241" s="23" t="n"/>
      <c r="L241" s="41" t="n"/>
      <c r="M241" s="41" t="n"/>
      <c r="N241" s="41" t="n"/>
      <c r="O241" s="41" t="n"/>
      <c r="P241" s="41" t="n"/>
      <c r="Q241" s="41" t="n"/>
      <c r="R241" s="23" t="n"/>
      <c r="S241" s="23" t="n"/>
      <c r="T241" s="42">
        <f>IF(OR(L241="",M241=""),"",IFERROR(Settings!$B$3*Settings!$B$5,0))</f>
        <v/>
      </c>
      <c r="U241" s="42">
        <f>IF(OR(L241="",M241="",R241=""),"",ABS(L241-M241)*R241*IF(S241="",1,S241))</f>
        <v/>
      </c>
      <c r="V241" s="26">
        <f>IFERROR(ABS(N241-L241)/ABS(L241-M241),"")</f>
        <v/>
      </c>
      <c r="W241" s="23" t="n"/>
      <c r="X241" s="23" t="n"/>
      <c r="Y241" s="23" t="n"/>
      <c r="Z241" s="23" t="n"/>
      <c r="AA241" s="23" t="n"/>
      <c r="AB241" s="23" t="n"/>
      <c r="AC241" s="23" t="n"/>
      <c r="AD241" s="42">
        <f>IF(OR(L241="",Q241="",R241=""),"",IF(H241="Long",(Q241-L241)*R241*IF(S241="",1,S241),(L241-Q241)*R241*IF(S241="",1,S241)))</f>
        <v/>
      </c>
      <c r="AE241" s="41" t="n"/>
      <c r="AF241" s="41" t="n"/>
      <c r="AG241" s="42">
        <f>IF(AD241="","",AD241-IF(AE241="",0,AE241)-IF(AF241="",0,AF241))</f>
        <v/>
      </c>
      <c r="AH241" s="26">
        <f>IFERROR(AG241/U241,"")</f>
        <v/>
      </c>
      <c r="AI241" s="23" t="n"/>
      <c r="AJ241" s="23" t="n"/>
      <c r="AK241" s="23" t="n"/>
      <c r="AL241" s="23" t="n"/>
    </row>
    <row r="242">
      <c r="A242" s="20">
        <f>IF(B242="","","TR-"&amp;TEXT(ROW()-2,"0000"))</f>
        <v/>
      </c>
      <c r="B242" s="43" t="n"/>
      <c r="C242" s="44" t="n"/>
      <c r="D242" s="44" t="n"/>
      <c r="E242" s="29" t="n"/>
      <c r="F242" s="29" t="n"/>
      <c r="G242" s="29" t="n"/>
      <c r="H242" s="29" t="n"/>
      <c r="I242" s="29" t="n"/>
      <c r="J242" s="29" t="n"/>
      <c r="K242" s="29" t="n"/>
      <c r="L242" s="45" t="n"/>
      <c r="M242" s="45" t="n"/>
      <c r="N242" s="45" t="n"/>
      <c r="O242" s="45" t="n"/>
      <c r="P242" s="45" t="n"/>
      <c r="Q242" s="45" t="n"/>
      <c r="R242" s="29" t="n"/>
      <c r="S242" s="29" t="n"/>
      <c r="T242" s="42">
        <f>IF(OR(L242="",M242=""),"",IFERROR(Settings!$B$3*Settings!$B$5,0))</f>
        <v/>
      </c>
      <c r="U242" s="42">
        <f>IF(OR(L242="",M242="",R242=""),"",ABS(L242-M242)*R242*IF(S242="",1,S242))</f>
        <v/>
      </c>
      <c r="V242" s="26">
        <f>IFERROR(ABS(N242-L242)/ABS(L242-M242),"")</f>
        <v/>
      </c>
      <c r="W242" s="29" t="n"/>
      <c r="X242" s="29" t="n"/>
      <c r="Y242" s="29" t="n"/>
      <c r="Z242" s="29" t="n"/>
      <c r="AA242" s="29" t="n"/>
      <c r="AB242" s="29" t="n"/>
      <c r="AC242" s="29" t="n"/>
      <c r="AD242" s="42">
        <f>IF(OR(L242="",Q242="",R242=""),"",IF(H242="Long",(Q242-L242)*R242*IF(S242="",1,S242),(L242-Q242)*R242*IF(S242="",1,S242)))</f>
        <v/>
      </c>
      <c r="AE242" s="45" t="n"/>
      <c r="AF242" s="45" t="n"/>
      <c r="AG242" s="42">
        <f>IF(AD242="","",AD242-IF(AE242="",0,AE242)-IF(AF242="",0,AF242))</f>
        <v/>
      </c>
      <c r="AH242" s="26">
        <f>IFERROR(AG242/U242,"")</f>
        <v/>
      </c>
      <c r="AI242" s="29" t="n"/>
      <c r="AJ242" s="29" t="n"/>
      <c r="AK242" s="29" t="n"/>
      <c r="AL242" s="29" t="n"/>
    </row>
    <row r="243">
      <c r="A243" s="20">
        <f>IF(B243="","","TR-"&amp;TEXT(ROW()-2,"0000"))</f>
        <v/>
      </c>
      <c r="B243" s="39" t="n"/>
      <c r="C243" s="40" t="n"/>
      <c r="D243" s="40" t="n"/>
      <c r="E243" s="23" t="n"/>
      <c r="F243" s="23" t="n"/>
      <c r="G243" s="23" t="n"/>
      <c r="H243" s="23" t="n"/>
      <c r="I243" s="23" t="n"/>
      <c r="J243" s="23" t="n"/>
      <c r="K243" s="23" t="n"/>
      <c r="L243" s="41" t="n"/>
      <c r="M243" s="41" t="n"/>
      <c r="N243" s="41" t="n"/>
      <c r="O243" s="41" t="n"/>
      <c r="P243" s="41" t="n"/>
      <c r="Q243" s="41" t="n"/>
      <c r="R243" s="23" t="n"/>
      <c r="S243" s="23" t="n"/>
      <c r="T243" s="42">
        <f>IF(OR(L243="",M243=""),"",IFERROR(Settings!$B$3*Settings!$B$5,0))</f>
        <v/>
      </c>
      <c r="U243" s="42">
        <f>IF(OR(L243="",M243="",R243=""),"",ABS(L243-M243)*R243*IF(S243="",1,S243))</f>
        <v/>
      </c>
      <c r="V243" s="26">
        <f>IFERROR(ABS(N243-L243)/ABS(L243-M243),"")</f>
        <v/>
      </c>
      <c r="W243" s="23" t="n"/>
      <c r="X243" s="23" t="n"/>
      <c r="Y243" s="23" t="n"/>
      <c r="Z243" s="23" t="n"/>
      <c r="AA243" s="23" t="n"/>
      <c r="AB243" s="23" t="n"/>
      <c r="AC243" s="23" t="n"/>
      <c r="AD243" s="42">
        <f>IF(OR(L243="",Q243="",R243=""),"",IF(H243="Long",(Q243-L243)*R243*IF(S243="",1,S243),(L243-Q243)*R243*IF(S243="",1,S243)))</f>
        <v/>
      </c>
      <c r="AE243" s="41" t="n"/>
      <c r="AF243" s="41" t="n"/>
      <c r="AG243" s="42">
        <f>IF(AD243="","",AD243-IF(AE243="",0,AE243)-IF(AF243="",0,AF243))</f>
        <v/>
      </c>
      <c r="AH243" s="26">
        <f>IFERROR(AG243/U243,"")</f>
        <v/>
      </c>
      <c r="AI243" s="23" t="n"/>
      <c r="AJ243" s="23" t="n"/>
      <c r="AK243" s="23" t="n"/>
      <c r="AL243" s="23" t="n"/>
    </row>
    <row r="244">
      <c r="A244" s="20">
        <f>IF(B244="","","TR-"&amp;TEXT(ROW()-2,"0000"))</f>
        <v/>
      </c>
      <c r="B244" s="43" t="n"/>
      <c r="C244" s="44" t="n"/>
      <c r="D244" s="44" t="n"/>
      <c r="E244" s="29" t="n"/>
      <c r="F244" s="29" t="n"/>
      <c r="G244" s="29" t="n"/>
      <c r="H244" s="29" t="n"/>
      <c r="I244" s="29" t="n"/>
      <c r="J244" s="29" t="n"/>
      <c r="K244" s="29" t="n"/>
      <c r="L244" s="45" t="n"/>
      <c r="M244" s="45" t="n"/>
      <c r="N244" s="45" t="n"/>
      <c r="O244" s="45" t="n"/>
      <c r="P244" s="45" t="n"/>
      <c r="Q244" s="45" t="n"/>
      <c r="R244" s="29" t="n"/>
      <c r="S244" s="29" t="n"/>
      <c r="T244" s="42">
        <f>IF(OR(L244="",M244=""),"",IFERROR(Settings!$B$3*Settings!$B$5,0))</f>
        <v/>
      </c>
      <c r="U244" s="42">
        <f>IF(OR(L244="",M244="",R244=""),"",ABS(L244-M244)*R244*IF(S244="",1,S244))</f>
        <v/>
      </c>
      <c r="V244" s="26">
        <f>IFERROR(ABS(N244-L244)/ABS(L244-M244),"")</f>
        <v/>
      </c>
      <c r="W244" s="29" t="n"/>
      <c r="X244" s="29" t="n"/>
      <c r="Y244" s="29" t="n"/>
      <c r="Z244" s="29" t="n"/>
      <c r="AA244" s="29" t="n"/>
      <c r="AB244" s="29" t="n"/>
      <c r="AC244" s="29" t="n"/>
      <c r="AD244" s="42">
        <f>IF(OR(L244="",Q244="",R244=""),"",IF(H244="Long",(Q244-L244)*R244*IF(S244="",1,S244),(L244-Q244)*R244*IF(S244="",1,S244)))</f>
        <v/>
      </c>
      <c r="AE244" s="45" t="n"/>
      <c r="AF244" s="45" t="n"/>
      <c r="AG244" s="42">
        <f>IF(AD244="","",AD244-IF(AE244="",0,AE244)-IF(AF244="",0,AF244))</f>
        <v/>
      </c>
      <c r="AH244" s="26">
        <f>IFERROR(AG244/U244,"")</f>
        <v/>
      </c>
      <c r="AI244" s="29" t="n"/>
      <c r="AJ244" s="29" t="n"/>
      <c r="AK244" s="29" t="n"/>
      <c r="AL244" s="29" t="n"/>
    </row>
    <row r="245">
      <c r="A245" s="20">
        <f>IF(B245="","","TR-"&amp;TEXT(ROW()-2,"0000"))</f>
        <v/>
      </c>
      <c r="B245" s="39" t="n"/>
      <c r="C245" s="40" t="n"/>
      <c r="D245" s="40" t="n"/>
      <c r="E245" s="23" t="n"/>
      <c r="F245" s="23" t="n"/>
      <c r="G245" s="23" t="n"/>
      <c r="H245" s="23" t="n"/>
      <c r="I245" s="23" t="n"/>
      <c r="J245" s="23" t="n"/>
      <c r="K245" s="23" t="n"/>
      <c r="L245" s="41" t="n"/>
      <c r="M245" s="41" t="n"/>
      <c r="N245" s="41" t="n"/>
      <c r="O245" s="41" t="n"/>
      <c r="P245" s="41" t="n"/>
      <c r="Q245" s="41" t="n"/>
      <c r="R245" s="23" t="n"/>
      <c r="S245" s="23" t="n"/>
      <c r="T245" s="42">
        <f>IF(OR(L245="",M245=""),"",IFERROR(Settings!$B$3*Settings!$B$5,0))</f>
        <v/>
      </c>
      <c r="U245" s="42">
        <f>IF(OR(L245="",M245="",R245=""),"",ABS(L245-M245)*R245*IF(S245="",1,S245))</f>
        <v/>
      </c>
      <c r="V245" s="26">
        <f>IFERROR(ABS(N245-L245)/ABS(L245-M245),"")</f>
        <v/>
      </c>
      <c r="W245" s="23" t="n"/>
      <c r="X245" s="23" t="n"/>
      <c r="Y245" s="23" t="n"/>
      <c r="Z245" s="23" t="n"/>
      <c r="AA245" s="23" t="n"/>
      <c r="AB245" s="23" t="n"/>
      <c r="AC245" s="23" t="n"/>
      <c r="AD245" s="42">
        <f>IF(OR(L245="",Q245="",R245=""),"",IF(H245="Long",(Q245-L245)*R245*IF(S245="",1,S245),(L245-Q245)*R245*IF(S245="",1,S245)))</f>
        <v/>
      </c>
      <c r="AE245" s="41" t="n"/>
      <c r="AF245" s="41" t="n"/>
      <c r="AG245" s="42">
        <f>IF(AD245="","",AD245-IF(AE245="",0,AE245)-IF(AF245="",0,AF245))</f>
        <v/>
      </c>
      <c r="AH245" s="26">
        <f>IFERROR(AG245/U245,"")</f>
        <v/>
      </c>
      <c r="AI245" s="23" t="n"/>
      <c r="AJ245" s="23" t="n"/>
      <c r="AK245" s="23" t="n"/>
      <c r="AL245" s="23" t="n"/>
    </row>
    <row r="246">
      <c r="A246" s="20">
        <f>IF(B246="","","TR-"&amp;TEXT(ROW()-2,"0000"))</f>
        <v/>
      </c>
      <c r="B246" s="43" t="n"/>
      <c r="C246" s="44" t="n"/>
      <c r="D246" s="44" t="n"/>
      <c r="E246" s="29" t="n"/>
      <c r="F246" s="29" t="n"/>
      <c r="G246" s="29" t="n"/>
      <c r="H246" s="29" t="n"/>
      <c r="I246" s="29" t="n"/>
      <c r="J246" s="29" t="n"/>
      <c r="K246" s="29" t="n"/>
      <c r="L246" s="45" t="n"/>
      <c r="M246" s="45" t="n"/>
      <c r="N246" s="45" t="n"/>
      <c r="O246" s="45" t="n"/>
      <c r="P246" s="45" t="n"/>
      <c r="Q246" s="45" t="n"/>
      <c r="R246" s="29" t="n"/>
      <c r="S246" s="29" t="n"/>
      <c r="T246" s="42">
        <f>IF(OR(L246="",M246=""),"",IFERROR(Settings!$B$3*Settings!$B$5,0))</f>
        <v/>
      </c>
      <c r="U246" s="42">
        <f>IF(OR(L246="",M246="",R246=""),"",ABS(L246-M246)*R246*IF(S246="",1,S246))</f>
        <v/>
      </c>
      <c r="V246" s="26">
        <f>IFERROR(ABS(N246-L246)/ABS(L246-M246),"")</f>
        <v/>
      </c>
      <c r="W246" s="29" t="n"/>
      <c r="X246" s="29" t="n"/>
      <c r="Y246" s="29" t="n"/>
      <c r="Z246" s="29" t="n"/>
      <c r="AA246" s="29" t="n"/>
      <c r="AB246" s="29" t="n"/>
      <c r="AC246" s="29" t="n"/>
      <c r="AD246" s="42">
        <f>IF(OR(L246="",Q246="",R246=""),"",IF(H246="Long",(Q246-L246)*R246*IF(S246="",1,S246),(L246-Q246)*R246*IF(S246="",1,S246)))</f>
        <v/>
      </c>
      <c r="AE246" s="45" t="n"/>
      <c r="AF246" s="45" t="n"/>
      <c r="AG246" s="42">
        <f>IF(AD246="","",AD246-IF(AE246="",0,AE246)-IF(AF246="",0,AF246))</f>
        <v/>
      </c>
      <c r="AH246" s="26">
        <f>IFERROR(AG246/U246,"")</f>
        <v/>
      </c>
      <c r="AI246" s="29" t="n"/>
      <c r="AJ246" s="29" t="n"/>
      <c r="AK246" s="29" t="n"/>
      <c r="AL246" s="29" t="n"/>
    </row>
    <row r="247">
      <c r="A247" s="20">
        <f>IF(B247="","","TR-"&amp;TEXT(ROW()-2,"0000"))</f>
        <v/>
      </c>
      <c r="B247" s="39" t="n"/>
      <c r="C247" s="40" t="n"/>
      <c r="D247" s="40" t="n"/>
      <c r="E247" s="23" t="n"/>
      <c r="F247" s="23" t="n"/>
      <c r="G247" s="23" t="n"/>
      <c r="H247" s="23" t="n"/>
      <c r="I247" s="23" t="n"/>
      <c r="J247" s="23" t="n"/>
      <c r="K247" s="23" t="n"/>
      <c r="L247" s="41" t="n"/>
      <c r="M247" s="41" t="n"/>
      <c r="N247" s="41" t="n"/>
      <c r="O247" s="41" t="n"/>
      <c r="P247" s="41" t="n"/>
      <c r="Q247" s="41" t="n"/>
      <c r="R247" s="23" t="n"/>
      <c r="S247" s="23" t="n"/>
      <c r="T247" s="42">
        <f>IF(OR(L247="",M247=""),"",IFERROR(Settings!$B$3*Settings!$B$5,0))</f>
        <v/>
      </c>
      <c r="U247" s="42">
        <f>IF(OR(L247="",M247="",R247=""),"",ABS(L247-M247)*R247*IF(S247="",1,S247))</f>
        <v/>
      </c>
      <c r="V247" s="26">
        <f>IFERROR(ABS(N247-L247)/ABS(L247-M247),"")</f>
        <v/>
      </c>
      <c r="W247" s="23" t="n"/>
      <c r="X247" s="23" t="n"/>
      <c r="Y247" s="23" t="n"/>
      <c r="Z247" s="23" t="n"/>
      <c r="AA247" s="23" t="n"/>
      <c r="AB247" s="23" t="n"/>
      <c r="AC247" s="23" t="n"/>
      <c r="AD247" s="42">
        <f>IF(OR(L247="",Q247="",R247=""),"",IF(H247="Long",(Q247-L247)*R247*IF(S247="",1,S247),(L247-Q247)*R247*IF(S247="",1,S247)))</f>
        <v/>
      </c>
      <c r="AE247" s="41" t="n"/>
      <c r="AF247" s="41" t="n"/>
      <c r="AG247" s="42">
        <f>IF(AD247="","",AD247-IF(AE247="",0,AE247)-IF(AF247="",0,AF247))</f>
        <v/>
      </c>
      <c r="AH247" s="26">
        <f>IFERROR(AG247/U247,"")</f>
        <v/>
      </c>
      <c r="AI247" s="23" t="n"/>
      <c r="AJ247" s="23" t="n"/>
      <c r="AK247" s="23" t="n"/>
      <c r="AL247" s="23" t="n"/>
    </row>
    <row r="248">
      <c r="A248" s="20">
        <f>IF(B248="","","TR-"&amp;TEXT(ROW()-2,"0000"))</f>
        <v/>
      </c>
      <c r="B248" s="43" t="n"/>
      <c r="C248" s="44" t="n"/>
      <c r="D248" s="44" t="n"/>
      <c r="E248" s="29" t="n"/>
      <c r="F248" s="29" t="n"/>
      <c r="G248" s="29" t="n"/>
      <c r="H248" s="29" t="n"/>
      <c r="I248" s="29" t="n"/>
      <c r="J248" s="29" t="n"/>
      <c r="K248" s="29" t="n"/>
      <c r="L248" s="45" t="n"/>
      <c r="M248" s="45" t="n"/>
      <c r="N248" s="45" t="n"/>
      <c r="O248" s="45" t="n"/>
      <c r="P248" s="45" t="n"/>
      <c r="Q248" s="45" t="n"/>
      <c r="R248" s="29" t="n"/>
      <c r="S248" s="29" t="n"/>
      <c r="T248" s="42">
        <f>IF(OR(L248="",M248=""),"",IFERROR(Settings!$B$3*Settings!$B$5,0))</f>
        <v/>
      </c>
      <c r="U248" s="42">
        <f>IF(OR(L248="",M248="",R248=""),"",ABS(L248-M248)*R248*IF(S248="",1,S248))</f>
        <v/>
      </c>
      <c r="V248" s="26">
        <f>IFERROR(ABS(N248-L248)/ABS(L248-M248),"")</f>
        <v/>
      </c>
      <c r="W248" s="29" t="n"/>
      <c r="X248" s="29" t="n"/>
      <c r="Y248" s="29" t="n"/>
      <c r="Z248" s="29" t="n"/>
      <c r="AA248" s="29" t="n"/>
      <c r="AB248" s="29" t="n"/>
      <c r="AC248" s="29" t="n"/>
      <c r="AD248" s="42">
        <f>IF(OR(L248="",Q248="",R248=""),"",IF(H248="Long",(Q248-L248)*R248*IF(S248="",1,S248),(L248-Q248)*R248*IF(S248="",1,S248)))</f>
        <v/>
      </c>
      <c r="AE248" s="45" t="n"/>
      <c r="AF248" s="45" t="n"/>
      <c r="AG248" s="42">
        <f>IF(AD248="","",AD248-IF(AE248="",0,AE248)-IF(AF248="",0,AF248))</f>
        <v/>
      </c>
      <c r="AH248" s="26">
        <f>IFERROR(AG248/U248,"")</f>
        <v/>
      </c>
      <c r="AI248" s="29" t="n"/>
      <c r="AJ248" s="29" t="n"/>
      <c r="AK248" s="29" t="n"/>
      <c r="AL248" s="29" t="n"/>
    </row>
    <row r="249">
      <c r="A249" s="20">
        <f>IF(B249="","","TR-"&amp;TEXT(ROW()-2,"0000"))</f>
        <v/>
      </c>
      <c r="B249" s="39" t="n"/>
      <c r="C249" s="40" t="n"/>
      <c r="D249" s="40" t="n"/>
      <c r="E249" s="23" t="n"/>
      <c r="F249" s="23" t="n"/>
      <c r="G249" s="23" t="n"/>
      <c r="H249" s="23" t="n"/>
      <c r="I249" s="23" t="n"/>
      <c r="J249" s="23" t="n"/>
      <c r="K249" s="23" t="n"/>
      <c r="L249" s="41" t="n"/>
      <c r="M249" s="41" t="n"/>
      <c r="N249" s="41" t="n"/>
      <c r="O249" s="41" t="n"/>
      <c r="P249" s="41" t="n"/>
      <c r="Q249" s="41" t="n"/>
      <c r="R249" s="23" t="n"/>
      <c r="S249" s="23" t="n"/>
      <c r="T249" s="42">
        <f>IF(OR(L249="",M249=""),"",IFERROR(Settings!$B$3*Settings!$B$5,0))</f>
        <v/>
      </c>
      <c r="U249" s="42">
        <f>IF(OR(L249="",M249="",R249=""),"",ABS(L249-M249)*R249*IF(S249="",1,S249))</f>
        <v/>
      </c>
      <c r="V249" s="26">
        <f>IFERROR(ABS(N249-L249)/ABS(L249-M249),"")</f>
        <v/>
      </c>
      <c r="W249" s="23" t="n"/>
      <c r="X249" s="23" t="n"/>
      <c r="Y249" s="23" t="n"/>
      <c r="Z249" s="23" t="n"/>
      <c r="AA249" s="23" t="n"/>
      <c r="AB249" s="23" t="n"/>
      <c r="AC249" s="23" t="n"/>
      <c r="AD249" s="42">
        <f>IF(OR(L249="",Q249="",R249=""),"",IF(H249="Long",(Q249-L249)*R249*IF(S249="",1,S249),(L249-Q249)*R249*IF(S249="",1,S249)))</f>
        <v/>
      </c>
      <c r="AE249" s="41" t="n"/>
      <c r="AF249" s="41" t="n"/>
      <c r="AG249" s="42">
        <f>IF(AD249="","",AD249-IF(AE249="",0,AE249)-IF(AF249="",0,AF249))</f>
        <v/>
      </c>
      <c r="AH249" s="26">
        <f>IFERROR(AG249/U249,"")</f>
        <v/>
      </c>
      <c r="AI249" s="23" t="n"/>
      <c r="AJ249" s="23" t="n"/>
      <c r="AK249" s="23" t="n"/>
      <c r="AL249" s="23" t="n"/>
    </row>
    <row r="250">
      <c r="A250" s="20">
        <f>IF(B250="","","TR-"&amp;TEXT(ROW()-2,"0000"))</f>
        <v/>
      </c>
      <c r="B250" s="43" t="n"/>
      <c r="C250" s="44" t="n"/>
      <c r="D250" s="44" t="n"/>
      <c r="E250" s="29" t="n"/>
      <c r="F250" s="29" t="n"/>
      <c r="G250" s="29" t="n"/>
      <c r="H250" s="29" t="n"/>
      <c r="I250" s="29" t="n"/>
      <c r="J250" s="29" t="n"/>
      <c r="K250" s="29" t="n"/>
      <c r="L250" s="45" t="n"/>
      <c r="M250" s="45" t="n"/>
      <c r="N250" s="45" t="n"/>
      <c r="O250" s="45" t="n"/>
      <c r="P250" s="45" t="n"/>
      <c r="Q250" s="45" t="n"/>
      <c r="R250" s="29" t="n"/>
      <c r="S250" s="29" t="n"/>
      <c r="T250" s="42">
        <f>IF(OR(L250="",M250=""),"",IFERROR(Settings!$B$3*Settings!$B$5,0))</f>
        <v/>
      </c>
      <c r="U250" s="42">
        <f>IF(OR(L250="",M250="",R250=""),"",ABS(L250-M250)*R250*IF(S250="",1,S250))</f>
        <v/>
      </c>
      <c r="V250" s="26">
        <f>IFERROR(ABS(N250-L250)/ABS(L250-M250),"")</f>
        <v/>
      </c>
      <c r="W250" s="29" t="n"/>
      <c r="X250" s="29" t="n"/>
      <c r="Y250" s="29" t="n"/>
      <c r="Z250" s="29" t="n"/>
      <c r="AA250" s="29" t="n"/>
      <c r="AB250" s="29" t="n"/>
      <c r="AC250" s="29" t="n"/>
      <c r="AD250" s="42">
        <f>IF(OR(L250="",Q250="",R250=""),"",IF(H250="Long",(Q250-L250)*R250*IF(S250="",1,S250),(L250-Q250)*R250*IF(S250="",1,S250)))</f>
        <v/>
      </c>
      <c r="AE250" s="45" t="n"/>
      <c r="AF250" s="45" t="n"/>
      <c r="AG250" s="42">
        <f>IF(AD250="","",AD250-IF(AE250="",0,AE250)-IF(AF250="",0,AF250))</f>
        <v/>
      </c>
      <c r="AH250" s="26">
        <f>IFERROR(AG250/U250,"")</f>
        <v/>
      </c>
      <c r="AI250" s="29" t="n"/>
      <c r="AJ250" s="29" t="n"/>
      <c r="AK250" s="29" t="n"/>
      <c r="AL250" s="29" t="n"/>
    </row>
    <row r="251">
      <c r="A251" s="20">
        <f>IF(B251="","","TR-"&amp;TEXT(ROW()-2,"0000"))</f>
        <v/>
      </c>
      <c r="B251" s="39" t="n"/>
      <c r="C251" s="40" t="n"/>
      <c r="D251" s="40" t="n"/>
      <c r="E251" s="23" t="n"/>
      <c r="F251" s="23" t="n"/>
      <c r="G251" s="23" t="n"/>
      <c r="H251" s="23" t="n"/>
      <c r="I251" s="23" t="n"/>
      <c r="J251" s="23" t="n"/>
      <c r="K251" s="23" t="n"/>
      <c r="L251" s="41" t="n"/>
      <c r="M251" s="41" t="n"/>
      <c r="N251" s="41" t="n"/>
      <c r="O251" s="41" t="n"/>
      <c r="P251" s="41" t="n"/>
      <c r="Q251" s="41" t="n"/>
      <c r="R251" s="23" t="n"/>
      <c r="S251" s="23" t="n"/>
      <c r="T251" s="42">
        <f>IF(OR(L251="",M251=""),"",IFERROR(Settings!$B$3*Settings!$B$5,0))</f>
        <v/>
      </c>
      <c r="U251" s="42">
        <f>IF(OR(L251="",M251="",R251=""),"",ABS(L251-M251)*R251*IF(S251="",1,S251))</f>
        <v/>
      </c>
      <c r="V251" s="26">
        <f>IFERROR(ABS(N251-L251)/ABS(L251-M251),"")</f>
        <v/>
      </c>
      <c r="W251" s="23" t="n"/>
      <c r="X251" s="23" t="n"/>
      <c r="Y251" s="23" t="n"/>
      <c r="Z251" s="23" t="n"/>
      <c r="AA251" s="23" t="n"/>
      <c r="AB251" s="23" t="n"/>
      <c r="AC251" s="23" t="n"/>
      <c r="AD251" s="42">
        <f>IF(OR(L251="",Q251="",R251=""),"",IF(H251="Long",(Q251-L251)*R251*IF(S251="",1,S251),(L251-Q251)*R251*IF(S251="",1,S251)))</f>
        <v/>
      </c>
      <c r="AE251" s="41" t="n"/>
      <c r="AF251" s="41" t="n"/>
      <c r="AG251" s="42">
        <f>IF(AD251="","",AD251-IF(AE251="",0,AE251)-IF(AF251="",0,AF251))</f>
        <v/>
      </c>
      <c r="AH251" s="26">
        <f>IFERROR(AG251/U251,"")</f>
        <v/>
      </c>
      <c r="AI251" s="23" t="n"/>
      <c r="AJ251" s="23" t="n"/>
      <c r="AK251" s="23" t="n"/>
      <c r="AL251" s="23" t="n"/>
    </row>
    <row r="252">
      <c r="A252" s="20">
        <f>IF(B252="","","TR-"&amp;TEXT(ROW()-2,"0000"))</f>
        <v/>
      </c>
      <c r="B252" s="43" t="n"/>
      <c r="C252" s="44" t="n"/>
      <c r="D252" s="44" t="n"/>
      <c r="E252" s="29" t="n"/>
      <c r="F252" s="29" t="n"/>
      <c r="G252" s="29" t="n"/>
      <c r="H252" s="29" t="n"/>
      <c r="I252" s="29" t="n"/>
      <c r="J252" s="29" t="n"/>
      <c r="K252" s="29" t="n"/>
      <c r="L252" s="45" t="n"/>
      <c r="M252" s="45" t="n"/>
      <c r="N252" s="45" t="n"/>
      <c r="O252" s="45" t="n"/>
      <c r="P252" s="45" t="n"/>
      <c r="Q252" s="45" t="n"/>
      <c r="R252" s="29" t="n"/>
      <c r="S252" s="29" t="n"/>
      <c r="T252" s="42">
        <f>IF(OR(L252="",M252=""),"",IFERROR(Settings!$B$3*Settings!$B$5,0))</f>
        <v/>
      </c>
      <c r="U252" s="42">
        <f>IF(OR(L252="",M252="",R252=""),"",ABS(L252-M252)*R252*IF(S252="",1,S252))</f>
        <v/>
      </c>
      <c r="V252" s="26">
        <f>IFERROR(ABS(N252-L252)/ABS(L252-M252),"")</f>
        <v/>
      </c>
      <c r="W252" s="29" t="n"/>
      <c r="X252" s="29" t="n"/>
      <c r="Y252" s="29" t="n"/>
      <c r="Z252" s="29" t="n"/>
      <c r="AA252" s="29" t="n"/>
      <c r="AB252" s="29" t="n"/>
      <c r="AC252" s="29" t="n"/>
      <c r="AD252" s="42">
        <f>IF(OR(L252="",Q252="",R252=""),"",IF(H252="Long",(Q252-L252)*R252*IF(S252="",1,S252),(L252-Q252)*R252*IF(S252="",1,S252)))</f>
        <v/>
      </c>
      <c r="AE252" s="45" t="n"/>
      <c r="AF252" s="45" t="n"/>
      <c r="AG252" s="42">
        <f>IF(AD252="","",AD252-IF(AE252="",0,AE252)-IF(AF252="",0,AF252))</f>
        <v/>
      </c>
      <c r="AH252" s="26">
        <f>IFERROR(AG252/U252,"")</f>
        <v/>
      </c>
      <c r="AI252" s="29" t="n"/>
      <c r="AJ252" s="29" t="n"/>
      <c r="AK252" s="29" t="n"/>
      <c r="AL252" s="29" t="n"/>
    </row>
    <row r="253">
      <c r="A253" s="20">
        <f>IF(B253="","","TR-"&amp;TEXT(ROW()-2,"0000"))</f>
        <v/>
      </c>
      <c r="B253" s="39" t="n"/>
      <c r="C253" s="40" t="n"/>
      <c r="D253" s="40" t="n"/>
      <c r="E253" s="23" t="n"/>
      <c r="F253" s="23" t="n"/>
      <c r="G253" s="23" t="n"/>
      <c r="H253" s="23" t="n"/>
      <c r="I253" s="23" t="n"/>
      <c r="J253" s="23" t="n"/>
      <c r="K253" s="23" t="n"/>
      <c r="L253" s="41" t="n"/>
      <c r="M253" s="41" t="n"/>
      <c r="N253" s="41" t="n"/>
      <c r="O253" s="41" t="n"/>
      <c r="P253" s="41" t="n"/>
      <c r="Q253" s="41" t="n"/>
      <c r="R253" s="23" t="n"/>
      <c r="S253" s="23" t="n"/>
      <c r="T253" s="42">
        <f>IF(OR(L253="",M253=""),"",IFERROR(Settings!$B$3*Settings!$B$5,0))</f>
        <v/>
      </c>
      <c r="U253" s="42">
        <f>IF(OR(L253="",M253="",R253=""),"",ABS(L253-M253)*R253*IF(S253="",1,S253))</f>
        <v/>
      </c>
      <c r="V253" s="26">
        <f>IFERROR(ABS(N253-L253)/ABS(L253-M253),"")</f>
        <v/>
      </c>
      <c r="W253" s="23" t="n"/>
      <c r="X253" s="23" t="n"/>
      <c r="Y253" s="23" t="n"/>
      <c r="Z253" s="23" t="n"/>
      <c r="AA253" s="23" t="n"/>
      <c r="AB253" s="23" t="n"/>
      <c r="AC253" s="23" t="n"/>
      <c r="AD253" s="42">
        <f>IF(OR(L253="",Q253="",R253=""),"",IF(H253="Long",(Q253-L253)*R253*IF(S253="",1,S253),(L253-Q253)*R253*IF(S253="",1,S253)))</f>
        <v/>
      </c>
      <c r="AE253" s="41" t="n"/>
      <c r="AF253" s="41" t="n"/>
      <c r="AG253" s="42">
        <f>IF(AD253="","",AD253-IF(AE253="",0,AE253)-IF(AF253="",0,AF253))</f>
        <v/>
      </c>
      <c r="AH253" s="26">
        <f>IFERROR(AG253/U253,"")</f>
        <v/>
      </c>
      <c r="AI253" s="23" t="n"/>
      <c r="AJ253" s="23" t="n"/>
      <c r="AK253" s="23" t="n"/>
      <c r="AL253" s="23" t="n"/>
    </row>
    <row r="254">
      <c r="A254" s="20">
        <f>IF(B254="","","TR-"&amp;TEXT(ROW()-2,"0000"))</f>
        <v/>
      </c>
      <c r="B254" s="43" t="n"/>
      <c r="C254" s="44" t="n"/>
      <c r="D254" s="44" t="n"/>
      <c r="E254" s="29" t="n"/>
      <c r="F254" s="29" t="n"/>
      <c r="G254" s="29" t="n"/>
      <c r="H254" s="29" t="n"/>
      <c r="I254" s="29" t="n"/>
      <c r="J254" s="29" t="n"/>
      <c r="K254" s="29" t="n"/>
      <c r="L254" s="45" t="n"/>
      <c r="M254" s="45" t="n"/>
      <c r="N254" s="45" t="n"/>
      <c r="O254" s="45" t="n"/>
      <c r="P254" s="45" t="n"/>
      <c r="Q254" s="45" t="n"/>
      <c r="R254" s="29" t="n"/>
      <c r="S254" s="29" t="n"/>
      <c r="T254" s="42">
        <f>IF(OR(L254="",M254=""),"",IFERROR(Settings!$B$3*Settings!$B$5,0))</f>
        <v/>
      </c>
      <c r="U254" s="42">
        <f>IF(OR(L254="",M254="",R254=""),"",ABS(L254-M254)*R254*IF(S254="",1,S254))</f>
        <v/>
      </c>
      <c r="V254" s="26">
        <f>IFERROR(ABS(N254-L254)/ABS(L254-M254),"")</f>
        <v/>
      </c>
      <c r="W254" s="29" t="n"/>
      <c r="X254" s="29" t="n"/>
      <c r="Y254" s="29" t="n"/>
      <c r="Z254" s="29" t="n"/>
      <c r="AA254" s="29" t="n"/>
      <c r="AB254" s="29" t="n"/>
      <c r="AC254" s="29" t="n"/>
      <c r="AD254" s="42">
        <f>IF(OR(L254="",Q254="",R254=""),"",IF(H254="Long",(Q254-L254)*R254*IF(S254="",1,S254),(L254-Q254)*R254*IF(S254="",1,S254)))</f>
        <v/>
      </c>
      <c r="AE254" s="45" t="n"/>
      <c r="AF254" s="45" t="n"/>
      <c r="AG254" s="42">
        <f>IF(AD254="","",AD254-IF(AE254="",0,AE254)-IF(AF254="",0,AF254))</f>
        <v/>
      </c>
      <c r="AH254" s="26">
        <f>IFERROR(AG254/U254,"")</f>
        <v/>
      </c>
      <c r="AI254" s="29" t="n"/>
      <c r="AJ254" s="29" t="n"/>
      <c r="AK254" s="29" t="n"/>
      <c r="AL254" s="29" t="n"/>
    </row>
    <row r="255">
      <c r="A255" s="20">
        <f>IF(B255="","","TR-"&amp;TEXT(ROW()-2,"0000"))</f>
        <v/>
      </c>
      <c r="B255" s="39" t="n"/>
      <c r="C255" s="40" t="n"/>
      <c r="D255" s="40" t="n"/>
      <c r="E255" s="23" t="n"/>
      <c r="F255" s="23" t="n"/>
      <c r="G255" s="23" t="n"/>
      <c r="H255" s="23" t="n"/>
      <c r="I255" s="23" t="n"/>
      <c r="J255" s="23" t="n"/>
      <c r="K255" s="23" t="n"/>
      <c r="L255" s="41" t="n"/>
      <c r="M255" s="41" t="n"/>
      <c r="N255" s="41" t="n"/>
      <c r="O255" s="41" t="n"/>
      <c r="P255" s="41" t="n"/>
      <c r="Q255" s="41" t="n"/>
      <c r="R255" s="23" t="n"/>
      <c r="S255" s="23" t="n"/>
      <c r="T255" s="42">
        <f>IF(OR(L255="",M255=""),"",IFERROR(Settings!$B$3*Settings!$B$5,0))</f>
        <v/>
      </c>
      <c r="U255" s="42">
        <f>IF(OR(L255="",M255="",R255=""),"",ABS(L255-M255)*R255*IF(S255="",1,S255))</f>
        <v/>
      </c>
      <c r="V255" s="26">
        <f>IFERROR(ABS(N255-L255)/ABS(L255-M255),"")</f>
        <v/>
      </c>
      <c r="W255" s="23" t="n"/>
      <c r="X255" s="23" t="n"/>
      <c r="Y255" s="23" t="n"/>
      <c r="Z255" s="23" t="n"/>
      <c r="AA255" s="23" t="n"/>
      <c r="AB255" s="23" t="n"/>
      <c r="AC255" s="23" t="n"/>
      <c r="AD255" s="42">
        <f>IF(OR(L255="",Q255="",R255=""),"",IF(H255="Long",(Q255-L255)*R255*IF(S255="",1,S255),(L255-Q255)*R255*IF(S255="",1,S255)))</f>
        <v/>
      </c>
      <c r="AE255" s="41" t="n"/>
      <c r="AF255" s="41" t="n"/>
      <c r="AG255" s="42">
        <f>IF(AD255="","",AD255-IF(AE255="",0,AE255)-IF(AF255="",0,AF255))</f>
        <v/>
      </c>
      <c r="AH255" s="26">
        <f>IFERROR(AG255/U255,"")</f>
        <v/>
      </c>
      <c r="AI255" s="23" t="n"/>
      <c r="AJ255" s="23" t="n"/>
      <c r="AK255" s="23" t="n"/>
      <c r="AL255" s="23" t="n"/>
    </row>
    <row r="256">
      <c r="A256" s="20">
        <f>IF(B256="","","TR-"&amp;TEXT(ROW()-2,"0000"))</f>
        <v/>
      </c>
      <c r="B256" s="43" t="n"/>
      <c r="C256" s="44" t="n"/>
      <c r="D256" s="44" t="n"/>
      <c r="E256" s="29" t="n"/>
      <c r="F256" s="29" t="n"/>
      <c r="G256" s="29" t="n"/>
      <c r="H256" s="29" t="n"/>
      <c r="I256" s="29" t="n"/>
      <c r="J256" s="29" t="n"/>
      <c r="K256" s="29" t="n"/>
      <c r="L256" s="45" t="n"/>
      <c r="M256" s="45" t="n"/>
      <c r="N256" s="45" t="n"/>
      <c r="O256" s="45" t="n"/>
      <c r="P256" s="45" t="n"/>
      <c r="Q256" s="45" t="n"/>
      <c r="R256" s="29" t="n"/>
      <c r="S256" s="29" t="n"/>
      <c r="T256" s="42">
        <f>IF(OR(L256="",M256=""),"",IFERROR(Settings!$B$3*Settings!$B$5,0))</f>
        <v/>
      </c>
      <c r="U256" s="42">
        <f>IF(OR(L256="",M256="",R256=""),"",ABS(L256-M256)*R256*IF(S256="",1,S256))</f>
        <v/>
      </c>
      <c r="V256" s="26">
        <f>IFERROR(ABS(N256-L256)/ABS(L256-M256),"")</f>
        <v/>
      </c>
      <c r="W256" s="29" t="n"/>
      <c r="X256" s="29" t="n"/>
      <c r="Y256" s="29" t="n"/>
      <c r="Z256" s="29" t="n"/>
      <c r="AA256" s="29" t="n"/>
      <c r="AB256" s="29" t="n"/>
      <c r="AC256" s="29" t="n"/>
      <c r="AD256" s="42">
        <f>IF(OR(L256="",Q256="",R256=""),"",IF(H256="Long",(Q256-L256)*R256*IF(S256="",1,S256),(L256-Q256)*R256*IF(S256="",1,S256)))</f>
        <v/>
      </c>
      <c r="AE256" s="45" t="n"/>
      <c r="AF256" s="45" t="n"/>
      <c r="AG256" s="42">
        <f>IF(AD256="","",AD256-IF(AE256="",0,AE256)-IF(AF256="",0,AF256))</f>
        <v/>
      </c>
      <c r="AH256" s="26">
        <f>IFERROR(AG256/U256,"")</f>
        <v/>
      </c>
      <c r="AI256" s="29" t="n"/>
      <c r="AJ256" s="29" t="n"/>
      <c r="AK256" s="29" t="n"/>
      <c r="AL256" s="29" t="n"/>
    </row>
    <row r="257">
      <c r="A257" s="20">
        <f>IF(B257="","","TR-"&amp;TEXT(ROW()-2,"0000"))</f>
        <v/>
      </c>
      <c r="B257" s="39" t="n"/>
      <c r="C257" s="40" t="n"/>
      <c r="D257" s="40" t="n"/>
      <c r="E257" s="23" t="n"/>
      <c r="F257" s="23" t="n"/>
      <c r="G257" s="23" t="n"/>
      <c r="H257" s="23" t="n"/>
      <c r="I257" s="23" t="n"/>
      <c r="J257" s="23" t="n"/>
      <c r="K257" s="23" t="n"/>
      <c r="L257" s="41" t="n"/>
      <c r="M257" s="41" t="n"/>
      <c r="N257" s="41" t="n"/>
      <c r="O257" s="41" t="n"/>
      <c r="P257" s="41" t="n"/>
      <c r="Q257" s="41" t="n"/>
      <c r="R257" s="23" t="n"/>
      <c r="S257" s="23" t="n"/>
      <c r="T257" s="42">
        <f>IF(OR(L257="",M257=""),"",IFERROR(Settings!$B$3*Settings!$B$5,0))</f>
        <v/>
      </c>
      <c r="U257" s="42">
        <f>IF(OR(L257="",M257="",R257=""),"",ABS(L257-M257)*R257*IF(S257="",1,S257))</f>
        <v/>
      </c>
      <c r="V257" s="26">
        <f>IFERROR(ABS(N257-L257)/ABS(L257-M257),"")</f>
        <v/>
      </c>
      <c r="W257" s="23" t="n"/>
      <c r="X257" s="23" t="n"/>
      <c r="Y257" s="23" t="n"/>
      <c r="Z257" s="23" t="n"/>
      <c r="AA257" s="23" t="n"/>
      <c r="AB257" s="23" t="n"/>
      <c r="AC257" s="23" t="n"/>
      <c r="AD257" s="42">
        <f>IF(OR(L257="",Q257="",R257=""),"",IF(H257="Long",(Q257-L257)*R257*IF(S257="",1,S257),(L257-Q257)*R257*IF(S257="",1,S257)))</f>
        <v/>
      </c>
      <c r="AE257" s="41" t="n"/>
      <c r="AF257" s="41" t="n"/>
      <c r="AG257" s="42">
        <f>IF(AD257="","",AD257-IF(AE257="",0,AE257)-IF(AF257="",0,AF257))</f>
        <v/>
      </c>
      <c r="AH257" s="26">
        <f>IFERROR(AG257/U257,"")</f>
        <v/>
      </c>
      <c r="AI257" s="23" t="n"/>
      <c r="AJ257" s="23" t="n"/>
      <c r="AK257" s="23" t="n"/>
      <c r="AL257" s="23" t="n"/>
    </row>
    <row r="258">
      <c r="A258" s="20">
        <f>IF(B258="","","TR-"&amp;TEXT(ROW()-2,"0000"))</f>
        <v/>
      </c>
      <c r="B258" s="43" t="n"/>
      <c r="C258" s="44" t="n"/>
      <c r="D258" s="44" t="n"/>
      <c r="E258" s="29" t="n"/>
      <c r="F258" s="29" t="n"/>
      <c r="G258" s="29" t="n"/>
      <c r="H258" s="29" t="n"/>
      <c r="I258" s="29" t="n"/>
      <c r="J258" s="29" t="n"/>
      <c r="K258" s="29" t="n"/>
      <c r="L258" s="45" t="n"/>
      <c r="M258" s="45" t="n"/>
      <c r="N258" s="45" t="n"/>
      <c r="O258" s="45" t="n"/>
      <c r="P258" s="45" t="n"/>
      <c r="Q258" s="45" t="n"/>
      <c r="R258" s="29" t="n"/>
      <c r="S258" s="29" t="n"/>
      <c r="T258" s="42">
        <f>IF(OR(L258="",M258=""),"",IFERROR(Settings!$B$3*Settings!$B$5,0))</f>
        <v/>
      </c>
      <c r="U258" s="42">
        <f>IF(OR(L258="",M258="",R258=""),"",ABS(L258-M258)*R258*IF(S258="",1,S258))</f>
        <v/>
      </c>
      <c r="V258" s="26">
        <f>IFERROR(ABS(N258-L258)/ABS(L258-M258),"")</f>
        <v/>
      </c>
      <c r="W258" s="29" t="n"/>
      <c r="X258" s="29" t="n"/>
      <c r="Y258" s="29" t="n"/>
      <c r="Z258" s="29" t="n"/>
      <c r="AA258" s="29" t="n"/>
      <c r="AB258" s="29" t="n"/>
      <c r="AC258" s="29" t="n"/>
      <c r="AD258" s="42">
        <f>IF(OR(L258="",Q258="",R258=""),"",IF(H258="Long",(Q258-L258)*R258*IF(S258="",1,S258),(L258-Q258)*R258*IF(S258="",1,S258)))</f>
        <v/>
      </c>
      <c r="AE258" s="45" t="n"/>
      <c r="AF258" s="45" t="n"/>
      <c r="AG258" s="42">
        <f>IF(AD258="","",AD258-IF(AE258="",0,AE258)-IF(AF258="",0,AF258))</f>
        <v/>
      </c>
      <c r="AH258" s="26">
        <f>IFERROR(AG258/U258,"")</f>
        <v/>
      </c>
      <c r="AI258" s="29" t="n"/>
      <c r="AJ258" s="29" t="n"/>
      <c r="AK258" s="29" t="n"/>
      <c r="AL258" s="29" t="n"/>
    </row>
    <row r="259">
      <c r="A259" s="20">
        <f>IF(B259="","","TR-"&amp;TEXT(ROW()-2,"0000"))</f>
        <v/>
      </c>
      <c r="B259" s="39" t="n"/>
      <c r="C259" s="40" t="n"/>
      <c r="D259" s="40" t="n"/>
      <c r="E259" s="23" t="n"/>
      <c r="F259" s="23" t="n"/>
      <c r="G259" s="23" t="n"/>
      <c r="H259" s="23" t="n"/>
      <c r="I259" s="23" t="n"/>
      <c r="J259" s="23" t="n"/>
      <c r="K259" s="23" t="n"/>
      <c r="L259" s="41" t="n"/>
      <c r="M259" s="41" t="n"/>
      <c r="N259" s="41" t="n"/>
      <c r="O259" s="41" t="n"/>
      <c r="P259" s="41" t="n"/>
      <c r="Q259" s="41" t="n"/>
      <c r="R259" s="23" t="n"/>
      <c r="S259" s="23" t="n"/>
      <c r="T259" s="42">
        <f>IF(OR(L259="",M259=""),"",IFERROR(Settings!$B$3*Settings!$B$5,0))</f>
        <v/>
      </c>
      <c r="U259" s="42">
        <f>IF(OR(L259="",M259="",R259=""),"",ABS(L259-M259)*R259*IF(S259="",1,S259))</f>
        <v/>
      </c>
      <c r="V259" s="26">
        <f>IFERROR(ABS(N259-L259)/ABS(L259-M259),"")</f>
        <v/>
      </c>
      <c r="W259" s="23" t="n"/>
      <c r="X259" s="23" t="n"/>
      <c r="Y259" s="23" t="n"/>
      <c r="Z259" s="23" t="n"/>
      <c r="AA259" s="23" t="n"/>
      <c r="AB259" s="23" t="n"/>
      <c r="AC259" s="23" t="n"/>
      <c r="AD259" s="42">
        <f>IF(OR(L259="",Q259="",R259=""),"",IF(H259="Long",(Q259-L259)*R259*IF(S259="",1,S259),(L259-Q259)*R259*IF(S259="",1,S259)))</f>
        <v/>
      </c>
      <c r="AE259" s="41" t="n"/>
      <c r="AF259" s="41" t="n"/>
      <c r="AG259" s="42">
        <f>IF(AD259="","",AD259-IF(AE259="",0,AE259)-IF(AF259="",0,AF259))</f>
        <v/>
      </c>
      <c r="AH259" s="26">
        <f>IFERROR(AG259/U259,"")</f>
        <v/>
      </c>
      <c r="AI259" s="23" t="n"/>
      <c r="AJ259" s="23" t="n"/>
      <c r="AK259" s="23" t="n"/>
      <c r="AL259" s="23" t="n"/>
    </row>
    <row r="260">
      <c r="A260" s="20">
        <f>IF(B260="","","TR-"&amp;TEXT(ROW()-2,"0000"))</f>
        <v/>
      </c>
      <c r="B260" s="43" t="n"/>
      <c r="C260" s="44" t="n"/>
      <c r="D260" s="44" t="n"/>
      <c r="E260" s="29" t="n"/>
      <c r="F260" s="29" t="n"/>
      <c r="G260" s="29" t="n"/>
      <c r="H260" s="29" t="n"/>
      <c r="I260" s="29" t="n"/>
      <c r="J260" s="29" t="n"/>
      <c r="K260" s="29" t="n"/>
      <c r="L260" s="45" t="n"/>
      <c r="M260" s="45" t="n"/>
      <c r="N260" s="45" t="n"/>
      <c r="O260" s="45" t="n"/>
      <c r="P260" s="45" t="n"/>
      <c r="Q260" s="45" t="n"/>
      <c r="R260" s="29" t="n"/>
      <c r="S260" s="29" t="n"/>
      <c r="T260" s="42">
        <f>IF(OR(L260="",M260=""),"",IFERROR(Settings!$B$3*Settings!$B$5,0))</f>
        <v/>
      </c>
      <c r="U260" s="42">
        <f>IF(OR(L260="",M260="",R260=""),"",ABS(L260-M260)*R260*IF(S260="",1,S260))</f>
        <v/>
      </c>
      <c r="V260" s="26">
        <f>IFERROR(ABS(N260-L260)/ABS(L260-M260),"")</f>
        <v/>
      </c>
      <c r="W260" s="29" t="n"/>
      <c r="X260" s="29" t="n"/>
      <c r="Y260" s="29" t="n"/>
      <c r="Z260" s="29" t="n"/>
      <c r="AA260" s="29" t="n"/>
      <c r="AB260" s="29" t="n"/>
      <c r="AC260" s="29" t="n"/>
      <c r="AD260" s="42">
        <f>IF(OR(L260="",Q260="",R260=""),"",IF(H260="Long",(Q260-L260)*R260*IF(S260="",1,S260),(L260-Q260)*R260*IF(S260="",1,S260)))</f>
        <v/>
      </c>
      <c r="AE260" s="45" t="n"/>
      <c r="AF260" s="45" t="n"/>
      <c r="AG260" s="42">
        <f>IF(AD260="","",AD260-IF(AE260="",0,AE260)-IF(AF260="",0,AF260))</f>
        <v/>
      </c>
      <c r="AH260" s="26">
        <f>IFERROR(AG260/U260,"")</f>
        <v/>
      </c>
      <c r="AI260" s="29" t="n"/>
      <c r="AJ260" s="29" t="n"/>
      <c r="AK260" s="29" t="n"/>
      <c r="AL260" s="29" t="n"/>
    </row>
    <row r="261">
      <c r="A261" s="20">
        <f>IF(B261="","","TR-"&amp;TEXT(ROW()-2,"0000"))</f>
        <v/>
      </c>
      <c r="B261" s="39" t="n"/>
      <c r="C261" s="40" t="n"/>
      <c r="D261" s="40" t="n"/>
      <c r="E261" s="23" t="n"/>
      <c r="F261" s="23" t="n"/>
      <c r="G261" s="23" t="n"/>
      <c r="H261" s="23" t="n"/>
      <c r="I261" s="23" t="n"/>
      <c r="J261" s="23" t="n"/>
      <c r="K261" s="23" t="n"/>
      <c r="L261" s="41" t="n"/>
      <c r="M261" s="41" t="n"/>
      <c r="N261" s="41" t="n"/>
      <c r="O261" s="41" t="n"/>
      <c r="P261" s="41" t="n"/>
      <c r="Q261" s="41" t="n"/>
      <c r="R261" s="23" t="n"/>
      <c r="S261" s="23" t="n"/>
      <c r="T261" s="42">
        <f>IF(OR(L261="",M261=""),"",IFERROR(Settings!$B$3*Settings!$B$5,0))</f>
        <v/>
      </c>
      <c r="U261" s="42">
        <f>IF(OR(L261="",M261="",R261=""),"",ABS(L261-M261)*R261*IF(S261="",1,S261))</f>
        <v/>
      </c>
      <c r="V261" s="26">
        <f>IFERROR(ABS(N261-L261)/ABS(L261-M261),"")</f>
        <v/>
      </c>
      <c r="W261" s="23" t="n"/>
      <c r="X261" s="23" t="n"/>
      <c r="Y261" s="23" t="n"/>
      <c r="Z261" s="23" t="n"/>
      <c r="AA261" s="23" t="n"/>
      <c r="AB261" s="23" t="n"/>
      <c r="AC261" s="23" t="n"/>
      <c r="AD261" s="42">
        <f>IF(OR(L261="",Q261="",R261=""),"",IF(H261="Long",(Q261-L261)*R261*IF(S261="",1,S261),(L261-Q261)*R261*IF(S261="",1,S261)))</f>
        <v/>
      </c>
      <c r="AE261" s="41" t="n"/>
      <c r="AF261" s="41" t="n"/>
      <c r="AG261" s="42">
        <f>IF(AD261="","",AD261-IF(AE261="",0,AE261)-IF(AF261="",0,AF261))</f>
        <v/>
      </c>
      <c r="AH261" s="26">
        <f>IFERROR(AG261/U261,"")</f>
        <v/>
      </c>
      <c r="AI261" s="23" t="n"/>
      <c r="AJ261" s="23" t="n"/>
      <c r="AK261" s="23" t="n"/>
      <c r="AL261" s="23" t="n"/>
    </row>
    <row r="262">
      <c r="A262" s="20">
        <f>IF(B262="","","TR-"&amp;TEXT(ROW()-2,"0000"))</f>
        <v/>
      </c>
      <c r="B262" s="43" t="n"/>
      <c r="C262" s="44" t="n"/>
      <c r="D262" s="44" t="n"/>
      <c r="E262" s="29" t="n"/>
      <c r="F262" s="29" t="n"/>
      <c r="G262" s="29" t="n"/>
      <c r="H262" s="29" t="n"/>
      <c r="I262" s="29" t="n"/>
      <c r="J262" s="29" t="n"/>
      <c r="K262" s="29" t="n"/>
      <c r="L262" s="45" t="n"/>
      <c r="M262" s="45" t="n"/>
      <c r="N262" s="45" t="n"/>
      <c r="O262" s="45" t="n"/>
      <c r="P262" s="45" t="n"/>
      <c r="Q262" s="45" t="n"/>
      <c r="R262" s="29" t="n"/>
      <c r="S262" s="29" t="n"/>
      <c r="T262" s="42">
        <f>IF(OR(L262="",M262=""),"",IFERROR(Settings!$B$3*Settings!$B$5,0))</f>
        <v/>
      </c>
      <c r="U262" s="42">
        <f>IF(OR(L262="",M262="",R262=""),"",ABS(L262-M262)*R262*IF(S262="",1,S262))</f>
        <v/>
      </c>
      <c r="V262" s="26">
        <f>IFERROR(ABS(N262-L262)/ABS(L262-M262),"")</f>
        <v/>
      </c>
      <c r="W262" s="29" t="n"/>
      <c r="X262" s="29" t="n"/>
      <c r="Y262" s="29" t="n"/>
      <c r="Z262" s="29" t="n"/>
      <c r="AA262" s="29" t="n"/>
      <c r="AB262" s="29" t="n"/>
      <c r="AC262" s="29" t="n"/>
      <c r="AD262" s="42">
        <f>IF(OR(L262="",Q262="",R262=""),"",IF(H262="Long",(Q262-L262)*R262*IF(S262="",1,S262),(L262-Q262)*R262*IF(S262="",1,S262)))</f>
        <v/>
      </c>
      <c r="AE262" s="45" t="n"/>
      <c r="AF262" s="45" t="n"/>
      <c r="AG262" s="42">
        <f>IF(AD262="","",AD262-IF(AE262="",0,AE262)-IF(AF262="",0,AF262))</f>
        <v/>
      </c>
      <c r="AH262" s="26">
        <f>IFERROR(AG262/U262,"")</f>
        <v/>
      </c>
      <c r="AI262" s="29" t="n"/>
      <c r="AJ262" s="29" t="n"/>
      <c r="AK262" s="29" t="n"/>
      <c r="AL262" s="29" t="n"/>
    </row>
    <row r="263">
      <c r="A263" s="20">
        <f>IF(B263="","","TR-"&amp;TEXT(ROW()-2,"0000"))</f>
        <v/>
      </c>
      <c r="B263" s="39" t="n"/>
      <c r="C263" s="40" t="n"/>
      <c r="D263" s="40" t="n"/>
      <c r="E263" s="23" t="n"/>
      <c r="F263" s="23" t="n"/>
      <c r="G263" s="23" t="n"/>
      <c r="H263" s="23" t="n"/>
      <c r="I263" s="23" t="n"/>
      <c r="J263" s="23" t="n"/>
      <c r="K263" s="23" t="n"/>
      <c r="L263" s="41" t="n"/>
      <c r="M263" s="41" t="n"/>
      <c r="N263" s="41" t="n"/>
      <c r="O263" s="41" t="n"/>
      <c r="P263" s="41" t="n"/>
      <c r="Q263" s="41" t="n"/>
      <c r="R263" s="23" t="n"/>
      <c r="S263" s="23" t="n"/>
      <c r="T263" s="42">
        <f>IF(OR(L263="",M263=""),"",IFERROR(Settings!$B$3*Settings!$B$5,0))</f>
        <v/>
      </c>
      <c r="U263" s="42">
        <f>IF(OR(L263="",M263="",R263=""),"",ABS(L263-M263)*R263*IF(S263="",1,S263))</f>
        <v/>
      </c>
      <c r="V263" s="26">
        <f>IFERROR(ABS(N263-L263)/ABS(L263-M263),"")</f>
        <v/>
      </c>
      <c r="W263" s="23" t="n"/>
      <c r="X263" s="23" t="n"/>
      <c r="Y263" s="23" t="n"/>
      <c r="Z263" s="23" t="n"/>
      <c r="AA263" s="23" t="n"/>
      <c r="AB263" s="23" t="n"/>
      <c r="AC263" s="23" t="n"/>
      <c r="AD263" s="42">
        <f>IF(OR(L263="",Q263="",R263=""),"",IF(H263="Long",(Q263-L263)*R263*IF(S263="",1,S263),(L263-Q263)*R263*IF(S263="",1,S263)))</f>
        <v/>
      </c>
      <c r="AE263" s="41" t="n"/>
      <c r="AF263" s="41" t="n"/>
      <c r="AG263" s="42">
        <f>IF(AD263="","",AD263-IF(AE263="",0,AE263)-IF(AF263="",0,AF263))</f>
        <v/>
      </c>
      <c r="AH263" s="26">
        <f>IFERROR(AG263/U263,"")</f>
        <v/>
      </c>
      <c r="AI263" s="23" t="n"/>
      <c r="AJ263" s="23" t="n"/>
      <c r="AK263" s="23" t="n"/>
      <c r="AL263" s="23" t="n"/>
    </row>
    <row r="264">
      <c r="A264" s="20">
        <f>IF(B264="","","TR-"&amp;TEXT(ROW()-2,"0000"))</f>
        <v/>
      </c>
      <c r="B264" s="43" t="n"/>
      <c r="C264" s="44" t="n"/>
      <c r="D264" s="44" t="n"/>
      <c r="E264" s="29" t="n"/>
      <c r="F264" s="29" t="n"/>
      <c r="G264" s="29" t="n"/>
      <c r="H264" s="29" t="n"/>
      <c r="I264" s="29" t="n"/>
      <c r="J264" s="29" t="n"/>
      <c r="K264" s="29" t="n"/>
      <c r="L264" s="45" t="n"/>
      <c r="M264" s="45" t="n"/>
      <c r="N264" s="45" t="n"/>
      <c r="O264" s="45" t="n"/>
      <c r="P264" s="45" t="n"/>
      <c r="Q264" s="45" t="n"/>
      <c r="R264" s="29" t="n"/>
      <c r="S264" s="29" t="n"/>
      <c r="T264" s="42">
        <f>IF(OR(L264="",M264=""),"",IFERROR(Settings!$B$3*Settings!$B$5,0))</f>
        <v/>
      </c>
      <c r="U264" s="42">
        <f>IF(OR(L264="",M264="",R264=""),"",ABS(L264-M264)*R264*IF(S264="",1,S264))</f>
        <v/>
      </c>
      <c r="V264" s="26">
        <f>IFERROR(ABS(N264-L264)/ABS(L264-M264),"")</f>
        <v/>
      </c>
      <c r="W264" s="29" t="n"/>
      <c r="X264" s="29" t="n"/>
      <c r="Y264" s="29" t="n"/>
      <c r="Z264" s="29" t="n"/>
      <c r="AA264" s="29" t="n"/>
      <c r="AB264" s="29" t="n"/>
      <c r="AC264" s="29" t="n"/>
      <c r="AD264" s="42">
        <f>IF(OR(L264="",Q264="",R264=""),"",IF(H264="Long",(Q264-L264)*R264*IF(S264="",1,S264),(L264-Q264)*R264*IF(S264="",1,S264)))</f>
        <v/>
      </c>
      <c r="AE264" s="45" t="n"/>
      <c r="AF264" s="45" t="n"/>
      <c r="AG264" s="42">
        <f>IF(AD264="","",AD264-IF(AE264="",0,AE264)-IF(AF264="",0,AF264))</f>
        <v/>
      </c>
      <c r="AH264" s="26">
        <f>IFERROR(AG264/U264,"")</f>
        <v/>
      </c>
      <c r="AI264" s="29" t="n"/>
      <c r="AJ264" s="29" t="n"/>
      <c r="AK264" s="29" t="n"/>
      <c r="AL264" s="29" t="n"/>
    </row>
    <row r="265">
      <c r="A265" s="20">
        <f>IF(B265="","","TR-"&amp;TEXT(ROW()-2,"0000"))</f>
        <v/>
      </c>
      <c r="B265" s="39" t="n"/>
      <c r="C265" s="40" t="n"/>
      <c r="D265" s="40" t="n"/>
      <c r="E265" s="23" t="n"/>
      <c r="F265" s="23" t="n"/>
      <c r="G265" s="23" t="n"/>
      <c r="H265" s="23" t="n"/>
      <c r="I265" s="23" t="n"/>
      <c r="J265" s="23" t="n"/>
      <c r="K265" s="23" t="n"/>
      <c r="L265" s="41" t="n"/>
      <c r="M265" s="41" t="n"/>
      <c r="N265" s="41" t="n"/>
      <c r="O265" s="41" t="n"/>
      <c r="P265" s="41" t="n"/>
      <c r="Q265" s="41" t="n"/>
      <c r="R265" s="23" t="n"/>
      <c r="S265" s="23" t="n"/>
      <c r="T265" s="42">
        <f>IF(OR(L265="",M265=""),"",IFERROR(Settings!$B$3*Settings!$B$5,0))</f>
        <v/>
      </c>
      <c r="U265" s="42">
        <f>IF(OR(L265="",M265="",R265=""),"",ABS(L265-M265)*R265*IF(S265="",1,S265))</f>
        <v/>
      </c>
      <c r="V265" s="26">
        <f>IFERROR(ABS(N265-L265)/ABS(L265-M265),"")</f>
        <v/>
      </c>
      <c r="W265" s="23" t="n"/>
      <c r="X265" s="23" t="n"/>
      <c r="Y265" s="23" t="n"/>
      <c r="Z265" s="23" t="n"/>
      <c r="AA265" s="23" t="n"/>
      <c r="AB265" s="23" t="n"/>
      <c r="AC265" s="23" t="n"/>
      <c r="AD265" s="42">
        <f>IF(OR(L265="",Q265="",R265=""),"",IF(H265="Long",(Q265-L265)*R265*IF(S265="",1,S265),(L265-Q265)*R265*IF(S265="",1,S265)))</f>
        <v/>
      </c>
      <c r="AE265" s="41" t="n"/>
      <c r="AF265" s="41" t="n"/>
      <c r="AG265" s="42">
        <f>IF(AD265="","",AD265-IF(AE265="",0,AE265)-IF(AF265="",0,AF265))</f>
        <v/>
      </c>
      <c r="AH265" s="26">
        <f>IFERROR(AG265/U265,"")</f>
        <v/>
      </c>
      <c r="AI265" s="23" t="n"/>
      <c r="AJ265" s="23" t="n"/>
      <c r="AK265" s="23" t="n"/>
      <c r="AL265" s="23" t="n"/>
    </row>
    <row r="266">
      <c r="A266" s="20">
        <f>IF(B266="","","TR-"&amp;TEXT(ROW()-2,"0000"))</f>
        <v/>
      </c>
      <c r="B266" s="43" t="n"/>
      <c r="C266" s="44" t="n"/>
      <c r="D266" s="44" t="n"/>
      <c r="E266" s="29" t="n"/>
      <c r="F266" s="29" t="n"/>
      <c r="G266" s="29" t="n"/>
      <c r="H266" s="29" t="n"/>
      <c r="I266" s="29" t="n"/>
      <c r="J266" s="29" t="n"/>
      <c r="K266" s="29" t="n"/>
      <c r="L266" s="45" t="n"/>
      <c r="M266" s="45" t="n"/>
      <c r="N266" s="45" t="n"/>
      <c r="O266" s="45" t="n"/>
      <c r="P266" s="45" t="n"/>
      <c r="Q266" s="45" t="n"/>
      <c r="R266" s="29" t="n"/>
      <c r="S266" s="29" t="n"/>
      <c r="T266" s="42">
        <f>IF(OR(L266="",M266=""),"",IFERROR(Settings!$B$3*Settings!$B$5,0))</f>
        <v/>
      </c>
      <c r="U266" s="42">
        <f>IF(OR(L266="",M266="",R266=""),"",ABS(L266-M266)*R266*IF(S266="",1,S266))</f>
        <v/>
      </c>
      <c r="V266" s="26">
        <f>IFERROR(ABS(N266-L266)/ABS(L266-M266),"")</f>
        <v/>
      </c>
      <c r="W266" s="29" t="n"/>
      <c r="X266" s="29" t="n"/>
      <c r="Y266" s="29" t="n"/>
      <c r="Z266" s="29" t="n"/>
      <c r="AA266" s="29" t="n"/>
      <c r="AB266" s="29" t="n"/>
      <c r="AC266" s="29" t="n"/>
      <c r="AD266" s="42">
        <f>IF(OR(L266="",Q266="",R266=""),"",IF(H266="Long",(Q266-L266)*R266*IF(S266="",1,S266),(L266-Q266)*R266*IF(S266="",1,S266)))</f>
        <v/>
      </c>
      <c r="AE266" s="45" t="n"/>
      <c r="AF266" s="45" t="n"/>
      <c r="AG266" s="42">
        <f>IF(AD266="","",AD266-IF(AE266="",0,AE266)-IF(AF266="",0,AF266))</f>
        <v/>
      </c>
      <c r="AH266" s="26">
        <f>IFERROR(AG266/U266,"")</f>
        <v/>
      </c>
      <c r="AI266" s="29" t="n"/>
      <c r="AJ266" s="29" t="n"/>
      <c r="AK266" s="29" t="n"/>
      <c r="AL266" s="29" t="n"/>
    </row>
    <row r="267">
      <c r="A267" s="20">
        <f>IF(B267="","","TR-"&amp;TEXT(ROW()-2,"0000"))</f>
        <v/>
      </c>
      <c r="B267" s="39" t="n"/>
      <c r="C267" s="40" t="n"/>
      <c r="D267" s="40" t="n"/>
      <c r="E267" s="23" t="n"/>
      <c r="F267" s="23" t="n"/>
      <c r="G267" s="23" t="n"/>
      <c r="H267" s="23" t="n"/>
      <c r="I267" s="23" t="n"/>
      <c r="J267" s="23" t="n"/>
      <c r="K267" s="23" t="n"/>
      <c r="L267" s="41" t="n"/>
      <c r="M267" s="41" t="n"/>
      <c r="N267" s="41" t="n"/>
      <c r="O267" s="41" t="n"/>
      <c r="P267" s="41" t="n"/>
      <c r="Q267" s="41" t="n"/>
      <c r="R267" s="23" t="n"/>
      <c r="S267" s="23" t="n"/>
      <c r="T267" s="42">
        <f>IF(OR(L267="",M267=""),"",IFERROR(Settings!$B$3*Settings!$B$5,0))</f>
        <v/>
      </c>
      <c r="U267" s="42">
        <f>IF(OR(L267="",M267="",R267=""),"",ABS(L267-M267)*R267*IF(S267="",1,S267))</f>
        <v/>
      </c>
      <c r="V267" s="26">
        <f>IFERROR(ABS(N267-L267)/ABS(L267-M267),"")</f>
        <v/>
      </c>
      <c r="W267" s="23" t="n"/>
      <c r="X267" s="23" t="n"/>
      <c r="Y267" s="23" t="n"/>
      <c r="Z267" s="23" t="n"/>
      <c r="AA267" s="23" t="n"/>
      <c r="AB267" s="23" t="n"/>
      <c r="AC267" s="23" t="n"/>
      <c r="AD267" s="42">
        <f>IF(OR(L267="",Q267="",R267=""),"",IF(H267="Long",(Q267-L267)*R267*IF(S267="",1,S267),(L267-Q267)*R267*IF(S267="",1,S267)))</f>
        <v/>
      </c>
      <c r="AE267" s="41" t="n"/>
      <c r="AF267" s="41" t="n"/>
      <c r="AG267" s="42">
        <f>IF(AD267="","",AD267-IF(AE267="",0,AE267)-IF(AF267="",0,AF267))</f>
        <v/>
      </c>
      <c r="AH267" s="26">
        <f>IFERROR(AG267/U267,"")</f>
        <v/>
      </c>
      <c r="AI267" s="23" t="n"/>
      <c r="AJ267" s="23" t="n"/>
      <c r="AK267" s="23" t="n"/>
      <c r="AL267" s="23" t="n"/>
    </row>
    <row r="268">
      <c r="A268" s="20">
        <f>IF(B268="","","TR-"&amp;TEXT(ROW()-2,"0000"))</f>
        <v/>
      </c>
      <c r="B268" s="43" t="n"/>
      <c r="C268" s="44" t="n"/>
      <c r="D268" s="44" t="n"/>
      <c r="E268" s="29" t="n"/>
      <c r="F268" s="29" t="n"/>
      <c r="G268" s="29" t="n"/>
      <c r="H268" s="29" t="n"/>
      <c r="I268" s="29" t="n"/>
      <c r="J268" s="29" t="n"/>
      <c r="K268" s="29" t="n"/>
      <c r="L268" s="45" t="n"/>
      <c r="M268" s="45" t="n"/>
      <c r="N268" s="45" t="n"/>
      <c r="O268" s="45" t="n"/>
      <c r="P268" s="45" t="n"/>
      <c r="Q268" s="45" t="n"/>
      <c r="R268" s="29" t="n"/>
      <c r="S268" s="29" t="n"/>
      <c r="T268" s="42">
        <f>IF(OR(L268="",M268=""),"",IFERROR(Settings!$B$3*Settings!$B$5,0))</f>
        <v/>
      </c>
      <c r="U268" s="42">
        <f>IF(OR(L268="",M268="",R268=""),"",ABS(L268-M268)*R268*IF(S268="",1,S268))</f>
        <v/>
      </c>
      <c r="V268" s="26">
        <f>IFERROR(ABS(N268-L268)/ABS(L268-M268),"")</f>
        <v/>
      </c>
      <c r="W268" s="29" t="n"/>
      <c r="X268" s="29" t="n"/>
      <c r="Y268" s="29" t="n"/>
      <c r="Z268" s="29" t="n"/>
      <c r="AA268" s="29" t="n"/>
      <c r="AB268" s="29" t="n"/>
      <c r="AC268" s="29" t="n"/>
      <c r="AD268" s="42">
        <f>IF(OR(L268="",Q268="",R268=""),"",IF(H268="Long",(Q268-L268)*R268*IF(S268="",1,S268),(L268-Q268)*R268*IF(S268="",1,S268)))</f>
        <v/>
      </c>
      <c r="AE268" s="45" t="n"/>
      <c r="AF268" s="45" t="n"/>
      <c r="AG268" s="42">
        <f>IF(AD268="","",AD268-IF(AE268="",0,AE268)-IF(AF268="",0,AF268))</f>
        <v/>
      </c>
      <c r="AH268" s="26">
        <f>IFERROR(AG268/U268,"")</f>
        <v/>
      </c>
      <c r="AI268" s="29" t="n"/>
      <c r="AJ268" s="29" t="n"/>
      <c r="AK268" s="29" t="n"/>
      <c r="AL268" s="29" t="n"/>
    </row>
    <row r="269">
      <c r="A269" s="20">
        <f>IF(B269="","","TR-"&amp;TEXT(ROW()-2,"0000"))</f>
        <v/>
      </c>
      <c r="B269" s="39" t="n"/>
      <c r="C269" s="40" t="n"/>
      <c r="D269" s="40" t="n"/>
      <c r="E269" s="23" t="n"/>
      <c r="F269" s="23" t="n"/>
      <c r="G269" s="23" t="n"/>
      <c r="H269" s="23" t="n"/>
      <c r="I269" s="23" t="n"/>
      <c r="J269" s="23" t="n"/>
      <c r="K269" s="23" t="n"/>
      <c r="L269" s="41" t="n"/>
      <c r="M269" s="41" t="n"/>
      <c r="N269" s="41" t="n"/>
      <c r="O269" s="41" t="n"/>
      <c r="P269" s="41" t="n"/>
      <c r="Q269" s="41" t="n"/>
      <c r="R269" s="23" t="n"/>
      <c r="S269" s="23" t="n"/>
      <c r="T269" s="42">
        <f>IF(OR(L269="",M269=""),"",IFERROR(Settings!$B$3*Settings!$B$5,0))</f>
        <v/>
      </c>
      <c r="U269" s="42">
        <f>IF(OR(L269="",M269="",R269=""),"",ABS(L269-M269)*R269*IF(S269="",1,S269))</f>
        <v/>
      </c>
      <c r="V269" s="26">
        <f>IFERROR(ABS(N269-L269)/ABS(L269-M269),"")</f>
        <v/>
      </c>
      <c r="W269" s="23" t="n"/>
      <c r="X269" s="23" t="n"/>
      <c r="Y269" s="23" t="n"/>
      <c r="Z269" s="23" t="n"/>
      <c r="AA269" s="23" t="n"/>
      <c r="AB269" s="23" t="n"/>
      <c r="AC269" s="23" t="n"/>
      <c r="AD269" s="42">
        <f>IF(OR(L269="",Q269="",R269=""),"",IF(H269="Long",(Q269-L269)*R269*IF(S269="",1,S269),(L269-Q269)*R269*IF(S269="",1,S269)))</f>
        <v/>
      </c>
      <c r="AE269" s="41" t="n"/>
      <c r="AF269" s="41" t="n"/>
      <c r="AG269" s="42">
        <f>IF(AD269="","",AD269-IF(AE269="",0,AE269)-IF(AF269="",0,AF269))</f>
        <v/>
      </c>
      <c r="AH269" s="26">
        <f>IFERROR(AG269/U269,"")</f>
        <v/>
      </c>
      <c r="AI269" s="23" t="n"/>
      <c r="AJ269" s="23" t="n"/>
      <c r="AK269" s="23" t="n"/>
      <c r="AL269" s="23" t="n"/>
    </row>
    <row r="270">
      <c r="A270" s="20">
        <f>IF(B270="","","TR-"&amp;TEXT(ROW()-2,"0000"))</f>
        <v/>
      </c>
      <c r="B270" s="43" t="n"/>
      <c r="C270" s="44" t="n"/>
      <c r="D270" s="44" t="n"/>
      <c r="E270" s="29" t="n"/>
      <c r="F270" s="29" t="n"/>
      <c r="G270" s="29" t="n"/>
      <c r="H270" s="29" t="n"/>
      <c r="I270" s="29" t="n"/>
      <c r="J270" s="29" t="n"/>
      <c r="K270" s="29" t="n"/>
      <c r="L270" s="45" t="n"/>
      <c r="M270" s="45" t="n"/>
      <c r="N270" s="45" t="n"/>
      <c r="O270" s="45" t="n"/>
      <c r="P270" s="45" t="n"/>
      <c r="Q270" s="45" t="n"/>
      <c r="R270" s="29" t="n"/>
      <c r="S270" s="29" t="n"/>
      <c r="T270" s="42">
        <f>IF(OR(L270="",M270=""),"",IFERROR(Settings!$B$3*Settings!$B$5,0))</f>
        <v/>
      </c>
      <c r="U270" s="42">
        <f>IF(OR(L270="",M270="",R270=""),"",ABS(L270-M270)*R270*IF(S270="",1,S270))</f>
        <v/>
      </c>
      <c r="V270" s="26">
        <f>IFERROR(ABS(N270-L270)/ABS(L270-M270),"")</f>
        <v/>
      </c>
      <c r="W270" s="29" t="n"/>
      <c r="X270" s="29" t="n"/>
      <c r="Y270" s="29" t="n"/>
      <c r="Z270" s="29" t="n"/>
      <c r="AA270" s="29" t="n"/>
      <c r="AB270" s="29" t="n"/>
      <c r="AC270" s="29" t="n"/>
      <c r="AD270" s="42">
        <f>IF(OR(L270="",Q270="",R270=""),"",IF(H270="Long",(Q270-L270)*R270*IF(S270="",1,S270),(L270-Q270)*R270*IF(S270="",1,S270)))</f>
        <v/>
      </c>
      <c r="AE270" s="45" t="n"/>
      <c r="AF270" s="45" t="n"/>
      <c r="AG270" s="42">
        <f>IF(AD270="","",AD270-IF(AE270="",0,AE270)-IF(AF270="",0,AF270))</f>
        <v/>
      </c>
      <c r="AH270" s="26">
        <f>IFERROR(AG270/U270,"")</f>
        <v/>
      </c>
      <c r="AI270" s="29" t="n"/>
      <c r="AJ270" s="29" t="n"/>
      <c r="AK270" s="29" t="n"/>
      <c r="AL270" s="29" t="n"/>
    </row>
    <row r="271">
      <c r="A271" s="20">
        <f>IF(B271="","","TR-"&amp;TEXT(ROW()-2,"0000"))</f>
        <v/>
      </c>
      <c r="B271" s="39" t="n"/>
      <c r="C271" s="40" t="n"/>
      <c r="D271" s="40" t="n"/>
      <c r="E271" s="23" t="n"/>
      <c r="F271" s="23" t="n"/>
      <c r="G271" s="23" t="n"/>
      <c r="H271" s="23" t="n"/>
      <c r="I271" s="23" t="n"/>
      <c r="J271" s="23" t="n"/>
      <c r="K271" s="23" t="n"/>
      <c r="L271" s="41" t="n"/>
      <c r="M271" s="41" t="n"/>
      <c r="N271" s="41" t="n"/>
      <c r="O271" s="41" t="n"/>
      <c r="P271" s="41" t="n"/>
      <c r="Q271" s="41" t="n"/>
      <c r="R271" s="23" t="n"/>
      <c r="S271" s="23" t="n"/>
      <c r="T271" s="42">
        <f>IF(OR(L271="",M271=""),"",IFERROR(Settings!$B$3*Settings!$B$5,0))</f>
        <v/>
      </c>
      <c r="U271" s="42">
        <f>IF(OR(L271="",M271="",R271=""),"",ABS(L271-M271)*R271*IF(S271="",1,S271))</f>
        <v/>
      </c>
      <c r="V271" s="26">
        <f>IFERROR(ABS(N271-L271)/ABS(L271-M271),"")</f>
        <v/>
      </c>
      <c r="W271" s="23" t="n"/>
      <c r="X271" s="23" t="n"/>
      <c r="Y271" s="23" t="n"/>
      <c r="Z271" s="23" t="n"/>
      <c r="AA271" s="23" t="n"/>
      <c r="AB271" s="23" t="n"/>
      <c r="AC271" s="23" t="n"/>
      <c r="AD271" s="42">
        <f>IF(OR(L271="",Q271="",R271=""),"",IF(H271="Long",(Q271-L271)*R271*IF(S271="",1,S271),(L271-Q271)*R271*IF(S271="",1,S271)))</f>
        <v/>
      </c>
      <c r="AE271" s="41" t="n"/>
      <c r="AF271" s="41" t="n"/>
      <c r="AG271" s="42">
        <f>IF(AD271="","",AD271-IF(AE271="",0,AE271)-IF(AF271="",0,AF271))</f>
        <v/>
      </c>
      <c r="AH271" s="26">
        <f>IFERROR(AG271/U271,"")</f>
        <v/>
      </c>
      <c r="AI271" s="23" t="n"/>
      <c r="AJ271" s="23" t="n"/>
      <c r="AK271" s="23" t="n"/>
      <c r="AL271" s="23" t="n"/>
    </row>
    <row r="272">
      <c r="A272" s="20">
        <f>IF(B272="","","TR-"&amp;TEXT(ROW()-2,"0000"))</f>
        <v/>
      </c>
      <c r="B272" s="43" t="n"/>
      <c r="C272" s="44" t="n"/>
      <c r="D272" s="44" t="n"/>
      <c r="E272" s="29" t="n"/>
      <c r="F272" s="29" t="n"/>
      <c r="G272" s="29" t="n"/>
      <c r="H272" s="29" t="n"/>
      <c r="I272" s="29" t="n"/>
      <c r="J272" s="29" t="n"/>
      <c r="K272" s="29" t="n"/>
      <c r="L272" s="45" t="n"/>
      <c r="M272" s="45" t="n"/>
      <c r="N272" s="45" t="n"/>
      <c r="O272" s="45" t="n"/>
      <c r="P272" s="45" t="n"/>
      <c r="Q272" s="45" t="n"/>
      <c r="R272" s="29" t="n"/>
      <c r="S272" s="29" t="n"/>
      <c r="T272" s="42">
        <f>IF(OR(L272="",M272=""),"",IFERROR(Settings!$B$3*Settings!$B$5,0))</f>
        <v/>
      </c>
      <c r="U272" s="42">
        <f>IF(OR(L272="",M272="",R272=""),"",ABS(L272-M272)*R272*IF(S272="",1,S272))</f>
        <v/>
      </c>
      <c r="V272" s="26">
        <f>IFERROR(ABS(N272-L272)/ABS(L272-M272),"")</f>
        <v/>
      </c>
      <c r="W272" s="29" t="n"/>
      <c r="X272" s="29" t="n"/>
      <c r="Y272" s="29" t="n"/>
      <c r="Z272" s="29" t="n"/>
      <c r="AA272" s="29" t="n"/>
      <c r="AB272" s="29" t="n"/>
      <c r="AC272" s="29" t="n"/>
      <c r="AD272" s="42">
        <f>IF(OR(L272="",Q272="",R272=""),"",IF(H272="Long",(Q272-L272)*R272*IF(S272="",1,S272),(L272-Q272)*R272*IF(S272="",1,S272)))</f>
        <v/>
      </c>
      <c r="AE272" s="45" t="n"/>
      <c r="AF272" s="45" t="n"/>
      <c r="AG272" s="42">
        <f>IF(AD272="","",AD272-IF(AE272="",0,AE272)-IF(AF272="",0,AF272))</f>
        <v/>
      </c>
      <c r="AH272" s="26">
        <f>IFERROR(AG272/U272,"")</f>
        <v/>
      </c>
      <c r="AI272" s="29" t="n"/>
      <c r="AJ272" s="29" t="n"/>
      <c r="AK272" s="29" t="n"/>
      <c r="AL272" s="29" t="n"/>
    </row>
    <row r="273">
      <c r="A273" s="20">
        <f>IF(B273="","","TR-"&amp;TEXT(ROW()-2,"0000"))</f>
        <v/>
      </c>
      <c r="B273" s="39" t="n"/>
      <c r="C273" s="40" t="n"/>
      <c r="D273" s="40" t="n"/>
      <c r="E273" s="23" t="n"/>
      <c r="F273" s="23" t="n"/>
      <c r="G273" s="23" t="n"/>
      <c r="H273" s="23" t="n"/>
      <c r="I273" s="23" t="n"/>
      <c r="J273" s="23" t="n"/>
      <c r="K273" s="23" t="n"/>
      <c r="L273" s="41" t="n"/>
      <c r="M273" s="41" t="n"/>
      <c r="N273" s="41" t="n"/>
      <c r="O273" s="41" t="n"/>
      <c r="P273" s="41" t="n"/>
      <c r="Q273" s="41" t="n"/>
      <c r="R273" s="23" t="n"/>
      <c r="S273" s="23" t="n"/>
      <c r="T273" s="42">
        <f>IF(OR(L273="",M273=""),"",IFERROR(Settings!$B$3*Settings!$B$5,0))</f>
        <v/>
      </c>
      <c r="U273" s="42">
        <f>IF(OR(L273="",M273="",R273=""),"",ABS(L273-M273)*R273*IF(S273="",1,S273))</f>
        <v/>
      </c>
      <c r="V273" s="26">
        <f>IFERROR(ABS(N273-L273)/ABS(L273-M273),"")</f>
        <v/>
      </c>
      <c r="W273" s="23" t="n"/>
      <c r="X273" s="23" t="n"/>
      <c r="Y273" s="23" t="n"/>
      <c r="Z273" s="23" t="n"/>
      <c r="AA273" s="23" t="n"/>
      <c r="AB273" s="23" t="n"/>
      <c r="AC273" s="23" t="n"/>
      <c r="AD273" s="42">
        <f>IF(OR(L273="",Q273="",R273=""),"",IF(H273="Long",(Q273-L273)*R273*IF(S273="",1,S273),(L273-Q273)*R273*IF(S273="",1,S273)))</f>
        <v/>
      </c>
      <c r="AE273" s="41" t="n"/>
      <c r="AF273" s="41" t="n"/>
      <c r="AG273" s="42">
        <f>IF(AD273="","",AD273-IF(AE273="",0,AE273)-IF(AF273="",0,AF273))</f>
        <v/>
      </c>
      <c r="AH273" s="26">
        <f>IFERROR(AG273/U273,"")</f>
        <v/>
      </c>
      <c r="AI273" s="23" t="n"/>
      <c r="AJ273" s="23" t="n"/>
      <c r="AK273" s="23" t="n"/>
      <c r="AL273" s="23" t="n"/>
    </row>
    <row r="274">
      <c r="A274" s="20">
        <f>IF(B274="","","TR-"&amp;TEXT(ROW()-2,"0000"))</f>
        <v/>
      </c>
      <c r="B274" s="43" t="n"/>
      <c r="C274" s="44" t="n"/>
      <c r="D274" s="44" t="n"/>
      <c r="E274" s="29" t="n"/>
      <c r="F274" s="29" t="n"/>
      <c r="G274" s="29" t="n"/>
      <c r="H274" s="29" t="n"/>
      <c r="I274" s="29" t="n"/>
      <c r="J274" s="29" t="n"/>
      <c r="K274" s="29" t="n"/>
      <c r="L274" s="45" t="n"/>
      <c r="M274" s="45" t="n"/>
      <c r="N274" s="45" t="n"/>
      <c r="O274" s="45" t="n"/>
      <c r="P274" s="45" t="n"/>
      <c r="Q274" s="45" t="n"/>
      <c r="R274" s="29" t="n"/>
      <c r="S274" s="29" t="n"/>
      <c r="T274" s="42">
        <f>IF(OR(L274="",M274=""),"",IFERROR(Settings!$B$3*Settings!$B$5,0))</f>
        <v/>
      </c>
      <c r="U274" s="42">
        <f>IF(OR(L274="",M274="",R274=""),"",ABS(L274-M274)*R274*IF(S274="",1,S274))</f>
        <v/>
      </c>
      <c r="V274" s="26">
        <f>IFERROR(ABS(N274-L274)/ABS(L274-M274),"")</f>
        <v/>
      </c>
      <c r="W274" s="29" t="n"/>
      <c r="X274" s="29" t="n"/>
      <c r="Y274" s="29" t="n"/>
      <c r="Z274" s="29" t="n"/>
      <c r="AA274" s="29" t="n"/>
      <c r="AB274" s="29" t="n"/>
      <c r="AC274" s="29" t="n"/>
      <c r="AD274" s="42">
        <f>IF(OR(L274="",Q274="",R274=""),"",IF(H274="Long",(Q274-L274)*R274*IF(S274="",1,S274),(L274-Q274)*R274*IF(S274="",1,S274)))</f>
        <v/>
      </c>
      <c r="AE274" s="45" t="n"/>
      <c r="AF274" s="45" t="n"/>
      <c r="AG274" s="42">
        <f>IF(AD274="","",AD274-IF(AE274="",0,AE274)-IF(AF274="",0,AF274))</f>
        <v/>
      </c>
      <c r="AH274" s="26">
        <f>IFERROR(AG274/U274,"")</f>
        <v/>
      </c>
      <c r="AI274" s="29" t="n"/>
      <c r="AJ274" s="29" t="n"/>
      <c r="AK274" s="29" t="n"/>
      <c r="AL274" s="29" t="n"/>
    </row>
    <row r="275">
      <c r="A275" s="20">
        <f>IF(B275="","","TR-"&amp;TEXT(ROW()-2,"0000"))</f>
        <v/>
      </c>
      <c r="B275" s="39" t="n"/>
      <c r="C275" s="40" t="n"/>
      <c r="D275" s="40" t="n"/>
      <c r="E275" s="23" t="n"/>
      <c r="F275" s="23" t="n"/>
      <c r="G275" s="23" t="n"/>
      <c r="H275" s="23" t="n"/>
      <c r="I275" s="23" t="n"/>
      <c r="J275" s="23" t="n"/>
      <c r="K275" s="23" t="n"/>
      <c r="L275" s="41" t="n"/>
      <c r="M275" s="41" t="n"/>
      <c r="N275" s="41" t="n"/>
      <c r="O275" s="41" t="n"/>
      <c r="P275" s="41" t="n"/>
      <c r="Q275" s="41" t="n"/>
      <c r="R275" s="23" t="n"/>
      <c r="S275" s="23" t="n"/>
      <c r="T275" s="42">
        <f>IF(OR(L275="",M275=""),"",IFERROR(Settings!$B$3*Settings!$B$5,0))</f>
        <v/>
      </c>
      <c r="U275" s="42">
        <f>IF(OR(L275="",M275="",R275=""),"",ABS(L275-M275)*R275*IF(S275="",1,S275))</f>
        <v/>
      </c>
      <c r="V275" s="26">
        <f>IFERROR(ABS(N275-L275)/ABS(L275-M275),"")</f>
        <v/>
      </c>
      <c r="W275" s="23" t="n"/>
      <c r="X275" s="23" t="n"/>
      <c r="Y275" s="23" t="n"/>
      <c r="Z275" s="23" t="n"/>
      <c r="AA275" s="23" t="n"/>
      <c r="AB275" s="23" t="n"/>
      <c r="AC275" s="23" t="n"/>
      <c r="AD275" s="42">
        <f>IF(OR(L275="",Q275="",R275=""),"",IF(H275="Long",(Q275-L275)*R275*IF(S275="",1,S275),(L275-Q275)*R275*IF(S275="",1,S275)))</f>
        <v/>
      </c>
      <c r="AE275" s="41" t="n"/>
      <c r="AF275" s="41" t="n"/>
      <c r="AG275" s="42">
        <f>IF(AD275="","",AD275-IF(AE275="",0,AE275)-IF(AF275="",0,AF275))</f>
        <v/>
      </c>
      <c r="AH275" s="26">
        <f>IFERROR(AG275/U275,"")</f>
        <v/>
      </c>
      <c r="AI275" s="23" t="n"/>
      <c r="AJ275" s="23" t="n"/>
      <c r="AK275" s="23" t="n"/>
      <c r="AL275" s="23" t="n"/>
    </row>
    <row r="276">
      <c r="A276" s="20">
        <f>IF(B276="","","TR-"&amp;TEXT(ROW()-2,"0000"))</f>
        <v/>
      </c>
      <c r="B276" s="43" t="n"/>
      <c r="C276" s="44" t="n"/>
      <c r="D276" s="44" t="n"/>
      <c r="E276" s="29" t="n"/>
      <c r="F276" s="29" t="n"/>
      <c r="G276" s="29" t="n"/>
      <c r="H276" s="29" t="n"/>
      <c r="I276" s="29" t="n"/>
      <c r="J276" s="29" t="n"/>
      <c r="K276" s="29" t="n"/>
      <c r="L276" s="45" t="n"/>
      <c r="M276" s="45" t="n"/>
      <c r="N276" s="45" t="n"/>
      <c r="O276" s="45" t="n"/>
      <c r="P276" s="45" t="n"/>
      <c r="Q276" s="45" t="n"/>
      <c r="R276" s="29" t="n"/>
      <c r="S276" s="29" t="n"/>
      <c r="T276" s="42">
        <f>IF(OR(L276="",M276=""),"",IFERROR(Settings!$B$3*Settings!$B$5,0))</f>
        <v/>
      </c>
      <c r="U276" s="42">
        <f>IF(OR(L276="",M276="",R276=""),"",ABS(L276-M276)*R276*IF(S276="",1,S276))</f>
        <v/>
      </c>
      <c r="V276" s="26">
        <f>IFERROR(ABS(N276-L276)/ABS(L276-M276),"")</f>
        <v/>
      </c>
      <c r="W276" s="29" t="n"/>
      <c r="X276" s="29" t="n"/>
      <c r="Y276" s="29" t="n"/>
      <c r="Z276" s="29" t="n"/>
      <c r="AA276" s="29" t="n"/>
      <c r="AB276" s="29" t="n"/>
      <c r="AC276" s="29" t="n"/>
      <c r="AD276" s="42">
        <f>IF(OR(L276="",Q276="",R276=""),"",IF(H276="Long",(Q276-L276)*R276*IF(S276="",1,S276),(L276-Q276)*R276*IF(S276="",1,S276)))</f>
        <v/>
      </c>
      <c r="AE276" s="45" t="n"/>
      <c r="AF276" s="45" t="n"/>
      <c r="AG276" s="42">
        <f>IF(AD276="","",AD276-IF(AE276="",0,AE276)-IF(AF276="",0,AF276))</f>
        <v/>
      </c>
      <c r="AH276" s="26">
        <f>IFERROR(AG276/U276,"")</f>
        <v/>
      </c>
      <c r="AI276" s="29" t="n"/>
      <c r="AJ276" s="29" t="n"/>
      <c r="AK276" s="29" t="n"/>
      <c r="AL276" s="29" t="n"/>
    </row>
    <row r="277">
      <c r="A277" s="20">
        <f>IF(B277="","","TR-"&amp;TEXT(ROW()-2,"0000"))</f>
        <v/>
      </c>
      <c r="B277" s="39" t="n"/>
      <c r="C277" s="40" t="n"/>
      <c r="D277" s="40" t="n"/>
      <c r="E277" s="23" t="n"/>
      <c r="F277" s="23" t="n"/>
      <c r="G277" s="23" t="n"/>
      <c r="H277" s="23" t="n"/>
      <c r="I277" s="23" t="n"/>
      <c r="J277" s="23" t="n"/>
      <c r="K277" s="23" t="n"/>
      <c r="L277" s="41" t="n"/>
      <c r="M277" s="41" t="n"/>
      <c r="N277" s="41" t="n"/>
      <c r="O277" s="41" t="n"/>
      <c r="P277" s="41" t="n"/>
      <c r="Q277" s="41" t="n"/>
      <c r="R277" s="23" t="n"/>
      <c r="S277" s="23" t="n"/>
      <c r="T277" s="42">
        <f>IF(OR(L277="",M277=""),"",IFERROR(Settings!$B$3*Settings!$B$5,0))</f>
        <v/>
      </c>
      <c r="U277" s="42">
        <f>IF(OR(L277="",M277="",R277=""),"",ABS(L277-M277)*R277*IF(S277="",1,S277))</f>
        <v/>
      </c>
      <c r="V277" s="26">
        <f>IFERROR(ABS(N277-L277)/ABS(L277-M277),"")</f>
        <v/>
      </c>
      <c r="W277" s="23" t="n"/>
      <c r="X277" s="23" t="n"/>
      <c r="Y277" s="23" t="n"/>
      <c r="Z277" s="23" t="n"/>
      <c r="AA277" s="23" t="n"/>
      <c r="AB277" s="23" t="n"/>
      <c r="AC277" s="23" t="n"/>
      <c r="AD277" s="42">
        <f>IF(OR(L277="",Q277="",R277=""),"",IF(H277="Long",(Q277-L277)*R277*IF(S277="",1,S277),(L277-Q277)*R277*IF(S277="",1,S277)))</f>
        <v/>
      </c>
      <c r="AE277" s="41" t="n"/>
      <c r="AF277" s="41" t="n"/>
      <c r="AG277" s="42">
        <f>IF(AD277="","",AD277-IF(AE277="",0,AE277)-IF(AF277="",0,AF277))</f>
        <v/>
      </c>
      <c r="AH277" s="26">
        <f>IFERROR(AG277/U277,"")</f>
        <v/>
      </c>
      <c r="AI277" s="23" t="n"/>
      <c r="AJ277" s="23" t="n"/>
      <c r="AK277" s="23" t="n"/>
      <c r="AL277" s="23" t="n"/>
    </row>
    <row r="278">
      <c r="A278" s="20">
        <f>IF(B278="","","TR-"&amp;TEXT(ROW()-2,"0000"))</f>
        <v/>
      </c>
      <c r="B278" s="43" t="n"/>
      <c r="C278" s="44" t="n"/>
      <c r="D278" s="44" t="n"/>
      <c r="E278" s="29" t="n"/>
      <c r="F278" s="29" t="n"/>
      <c r="G278" s="29" t="n"/>
      <c r="H278" s="29" t="n"/>
      <c r="I278" s="29" t="n"/>
      <c r="J278" s="29" t="n"/>
      <c r="K278" s="29" t="n"/>
      <c r="L278" s="45" t="n"/>
      <c r="M278" s="45" t="n"/>
      <c r="N278" s="45" t="n"/>
      <c r="O278" s="45" t="n"/>
      <c r="P278" s="45" t="n"/>
      <c r="Q278" s="45" t="n"/>
      <c r="R278" s="29" t="n"/>
      <c r="S278" s="29" t="n"/>
      <c r="T278" s="42">
        <f>IF(OR(L278="",M278=""),"",IFERROR(Settings!$B$3*Settings!$B$5,0))</f>
        <v/>
      </c>
      <c r="U278" s="42">
        <f>IF(OR(L278="",M278="",R278=""),"",ABS(L278-M278)*R278*IF(S278="",1,S278))</f>
        <v/>
      </c>
      <c r="V278" s="26">
        <f>IFERROR(ABS(N278-L278)/ABS(L278-M278),"")</f>
        <v/>
      </c>
      <c r="W278" s="29" t="n"/>
      <c r="X278" s="29" t="n"/>
      <c r="Y278" s="29" t="n"/>
      <c r="Z278" s="29" t="n"/>
      <c r="AA278" s="29" t="n"/>
      <c r="AB278" s="29" t="n"/>
      <c r="AC278" s="29" t="n"/>
      <c r="AD278" s="42">
        <f>IF(OR(L278="",Q278="",R278=""),"",IF(H278="Long",(Q278-L278)*R278*IF(S278="",1,S278),(L278-Q278)*R278*IF(S278="",1,S278)))</f>
        <v/>
      </c>
      <c r="AE278" s="45" t="n"/>
      <c r="AF278" s="45" t="n"/>
      <c r="AG278" s="42">
        <f>IF(AD278="","",AD278-IF(AE278="",0,AE278)-IF(AF278="",0,AF278))</f>
        <v/>
      </c>
      <c r="AH278" s="26">
        <f>IFERROR(AG278/U278,"")</f>
        <v/>
      </c>
      <c r="AI278" s="29" t="n"/>
      <c r="AJ278" s="29" t="n"/>
      <c r="AK278" s="29" t="n"/>
      <c r="AL278" s="29" t="n"/>
    </row>
    <row r="279">
      <c r="A279" s="20">
        <f>IF(B279="","","TR-"&amp;TEXT(ROW()-2,"0000"))</f>
        <v/>
      </c>
      <c r="B279" s="39" t="n"/>
      <c r="C279" s="40" t="n"/>
      <c r="D279" s="40" t="n"/>
      <c r="E279" s="23" t="n"/>
      <c r="F279" s="23" t="n"/>
      <c r="G279" s="23" t="n"/>
      <c r="H279" s="23" t="n"/>
      <c r="I279" s="23" t="n"/>
      <c r="J279" s="23" t="n"/>
      <c r="K279" s="23" t="n"/>
      <c r="L279" s="41" t="n"/>
      <c r="M279" s="41" t="n"/>
      <c r="N279" s="41" t="n"/>
      <c r="O279" s="41" t="n"/>
      <c r="P279" s="41" t="n"/>
      <c r="Q279" s="41" t="n"/>
      <c r="R279" s="23" t="n"/>
      <c r="S279" s="23" t="n"/>
      <c r="T279" s="42">
        <f>IF(OR(L279="",M279=""),"",IFERROR(Settings!$B$3*Settings!$B$5,0))</f>
        <v/>
      </c>
      <c r="U279" s="42">
        <f>IF(OR(L279="",M279="",R279=""),"",ABS(L279-M279)*R279*IF(S279="",1,S279))</f>
        <v/>
      </c>
      <c r="V279" s="26">
        <f>IFERROR(ABS(N279-L279)/ABS(L279-M279),"")</f>
        <v/>
      </c>
      <c r="W279" s="23" t="n"/>
      <c r="X279" s="23" t="n"/>
      <c r="Y279" s="23" t="n"/>
      <c r="Z279" s="23" t="n"/>
      <c r="AA279" s="23" t="n"/>
      <c r="AB279" s="23" t="n"/>
      <c r="AC279" s="23" t="n"/>
      <c r="AD279" s="42">
        <f>IF(OR(L279="",Q279="",R279=""),"",IF(H279="Long",(Q279-L279)*R279*IF(S279="",1,S279),(L279-Q279)*R279*IF(S279="",1,S279)))</f>
        <v/>
      </c>
      <c r="AE279" s="41" t="n"/>
      <c r="AF279" s="41" t="n"/>
      <c r="AG279" s="42">
        <f>IF(AD279="","",AD279-IF(AE279="",0,AE279)-IF(AF279="",0,AF279))</f>
        <v/>
      </c>
      <c r="AH279" s="26">
        <f>IFERROR(AG279/U279,"")</f>
        <v/>
      </c>
      <c r="AI279" s="23" t="n"/>
      <c r="AJ279" s="23" t="n"/>
      <c r="AK279" s="23" t="n"/>
      <c r="AL279" s="23" t="n"/>
    </row>
    <row r="280">
      <c r="A280" s="20">
        <f>IF(B280="","","TR-"&amp;TEXT(ROW()-2,"0000"))</f>
        <v/>
      </c>
      <c r="B280" s="43" t="n"/>
      <c r="C280" s="44" t="n"/>
      <c r="D280" s="44" t="n"/>
      <c r="E280" s="29" t="n"/>
      <c r="F280" s="29" t="n"/>
      <c r="G280" s="29" t="n"/>
      <c r="H280" s="29" t="n"/>
      <c r="I280" s="29" t="n"/>
      <c r="J280" s="29" t="n"/>
      <c r="K280" s="29" t="n"/>
      <c r="L280" s="45" t="n"/>
      <c r="M280" s="45" t="n"/>
      <c r="N280" s="45" t="n"/>
      <c r="O280" s="45" t="n"/>
      <c r="P280" s="45" t="n"/>
      <c r="Q280" s="45" t="n"/>
      <c r="R280" s="29" t="n"/>
      <c r="S280" s="29" t="n"/>
      <c r="T280" s="42">
        <f>IF(OR(L280="",M280=""),"",IFERROR(Settings!$B$3*Settings!$B$5,0))</f>
        <v/>
      </c>
      <c r="U280" s="42">
        <f>IF(OR(L280="",M280="",R280=""),"",ABS(L280-M280)*R280*IF(S280="",1,S280))</f>
        <v/>
      </c>
      <c r="V280" s="26">
        <f>IFERROR(ABS(N280-L280)/ABS(L280-M280),"")</f>
        <v/>
      </c>
      <c r="W280" s="29" t="n"/>
      <c r="X280" s="29" t="n"/>
      <c r="Y280" s="29" t="n"/>
      <c r="Z280" s="29" t="n"/>
      <c r="AA280" s="29" t="n"/>
      <c r="AB280" s="29" t="n"/>
      <c r="AC280" s="29" t="n"/>
      <c r="AD280" s="42">
        <f>IF(OR(L280="",Q280="",R280=""),"",IF(H280="Long",(Q280-L280)*R280*IF(S280="",1,S280),(L280-Q280)*R280*IF(S280="",1,S280)))</f>
        <v/>
      </c>
      <c r="AE280" s="45" t="n"/>
      <c r="AF280" s="45" t="n"/>
      <c r="AG280" s="42">
        <f>IF(AD280="","",AD280-IF(AE280="",0,AE280)-IF(AF280="",0,AF280))</f>
        <v/>
      </c>
      <c r="AH280" s="26">
        <f>IFERROR(AG280/U280,"")</f>
        <v/>
      </c>
      <c r="AI280" s="29" t="n"/>
      <c r="AJ280" s="29" t="n"/>
      <c r="AK280" s="29" t="n"/>
      <c r="AL280" s="29" t="n"/>
    </row>
    <row r="281">
      <c r="A281" s="20">
        <f>IF(B281="","","TR-"&amp;TEXT(ROW()-2,"0000"))</f>
        <v/>
      </c>
      <c r="B281" s="39" t="n"/>
      <c r="C281" s="40" t="n"/>
      <c r="D281" s="40" t="n"/>
      <c r="E281" s="23" t="n"/>
      <c r="F281" s="23" t="n"/>
      <c r="G281" s="23" t="n"/>
      <c r="H281" s="23" t="n"/>
      <c r="I281" s="23" t="n"/>
      <c r="J281" s="23" t="n"/>
      <c r="K281" s="23" t="n"/>
      <c r="L281" s="41" t="n"/>
      <c r="M281" s="41" t="n"/>
      <c r="N281" s="41" t="n"/>
      <c r="O281" s="41" t="n"/>
      <c r="P281" s="41" t="n"/>
      <c r="Q281" s="41" t="n"/>
      <c r="R281" s="23" t="n"/>
      <c r="S281" s="23" t="n"/>
      <c r="T281" s="42">
        <f>IF(OR(L281="",M281=""),"",IFERROR(Settings!$B$3*Settings!$B$5,0))</f>
        <v/>
      </c>
      <c r="U281" s="42">
        <f>IF(OR(L281="",M281="",R281=""),"",ABS(L281-M281)*R281*IF(S281="",1,S281))</f>
        <v/>
      </c>
      <c r="V281" s="26">
        <f>IFERROR(ABS(N281-L281)/ABS(L281-M281),"")</f>
        <v/>
      </c>
      <c r="W281" s="23" t="n"/>
      <c r="X281" s="23" t="n"/>
      <c r="Y281" s="23" t="n"/>
      <c r="Z281" s="23" t="n"/>
      <c r="AA281" s="23" t="n"/>
      <c r="AB281" s="23" t="n"/>
      <c r="AC281" s="23" t="n"/>
      <c r="AD281" s="42">
        <f>IF(OR(L281="",Q281="",R281=""),"",IF(H281="Long",(Q281-L281)*R281*IF(S281="",1,S281),(L281-Q281)*R281*IF(S281="",1,S281)))</f>
        <v/>
      </c>
      <c r="AE281" s="41" t="n"/>
      <c r="AF281" s="41" t="n"/>
      <c r="AG281" s="42">
        <f>IF(AD281="","",AD281-IF(AE281="",0,AE281)-IF(AF281="",0,AF281))</f>
        <v/>
      </c>
      <c r="AH281" s="26">
        <f>IFERROR(AG281/U281,"")</f>
        <v/>
      </c>
      <c r="AI281" s="23" t="n"/>
      <c r="AJ281" s="23" t="n"/>
      <c r="AK281" s="23" t="n"/>
      <c r="AL281" s="23" t="n"/>
    </row>
    <row r="282">
      <c r="A282" s="20">
        <f>IF(B282="","","TR-"&amp;TEXT(ROW()-2,"0000"))</f>
        <v/>
      </c>
      <c r="B282" s="43" t="n"/>
      <c r="C282" s="44" t="n"/>
      <c r="D282" s="44" t="n"/>
      <c r="E282" s="29" t="n"/>
      <c r="F282" s="29" t="n"/>
      <c r="G282" s="29" t="n"/>
      <c r="H282" s="29" t="n"/>
      <c r="I282" s="29" t="n"/>
      <c r="J282" s="29" t="n"/>
      <c r="K282" s="29" t="n"/>
      <c r="L282" s="45" t="n"/>
      <c r="M282" s="45" t="n"/>
      <c r="N282" s="45" t="n"/>
      <c r="O282" s="45" t="n"/>
      <c r="P282" s="45" t="n"/>
      <c r="Q282" s="45" t="n"/>
      <c r="R282" s="29" t="n"/>
      <c r="S282" s="29" t="n"/>
      <c r="T282" s="42">
        <f>IF(OR(L282="",M282=""),"",IFERROR(Settings!$B$3*Settings!$B$5,0))</f>
        <v/>
      </c>
      <c r="U282" s="42">
        <f>IF(OR(L282="",M282="",R282=""),"",ABS(L282-M282)*R282*IF(S282="",1,S282))</f>
        <v/>
      </c>
      <c r="V282" s="26">
        <f>IFERROR(ABS(N282-L282)/ABS(L282-M282),"")</f>
        <v/>
      </c>
      <c r="W282" s="29" t="n"/>
      <c r="X282" s="29" t="n"/>
      <c r="Y282" s="29" t="n"/>
      <c r="Z282" s="29" t="n"/>
      <c r="AA282" s="29" t="n"/>
      <c r="AB282" s="29" t="n"/>
      <c r="AC282" s="29" t="n"/>
      <c r="AD282" s="42">
        <f>IF(OR(L282="",Q282="",R282=""),"",IF(H282="Long",(Q282-L282)*R282*IF(S282="",1,S282),(L282-Q282)*R282*IF(S282="",1,S282)))</f>
        <v/>
      </c>
      <c r="AE282" s="45" t="n"/>
      <c r="AF282" s="45" t="n"/>
      <c r="AG282" s="42">
        <f>IF(AD282="","",AD282-IF(AE282="",0,AE282)-IF(AF282="",0,AF282))</f>
        <v/>
      </c>
      <c r="AH282" s="26">
        <f>IFERROR(AG282/U282,"")</f>
        <v/>
      </c>
      <c r="AI282" s="29" t="n"/>
      <c r="AJ282" s="29" t="n"/>
      <c r="AK282" s="29" t="n"/>
      <c r="AL282" s="29" t="n"/>
    </row>
    <row r="283">
      <c r="A283" s="20">
        <f>IF(B283="","","TR-"&amp;TEXT(ROW()-2,"0000"))</f>
        <v/>
      </c>
      <c r="B283" s="39" t="n"/>
      <c r="C283" s="40" t="n"/>
      <c r="D283" s="40" t="n"/>
      <c r="E283" s="23" t="n"/>
      <c r="F283" s="23" t="n"/>
      <c r="G283" s="23" t="n"/>
      <c r="H283" s="23" t="n"/>
      <c r="I283" s="23" t="n"/>
      <c r="J283" s="23" t="n"/>
      <c r="K283" s="23" t="n"/>
      <c r="L283" s="41" t="n"/>
      <c r="M283" s="41" t="n"/>
      <c r="N283" s="41" t="n"/>
      <c r="O283" s="41" t="n"/>
      <c r="P283" s="41" t="n"/>
      <c r="Q283" s="41" t="n"/>
      <c r="R283" s="23" t="n"/>
      <c r="S283" s="23" t="n"/>
      <c r="T283" s="42">
        <f>IF(OR(L283="",M283=""),"",IFERROR(Settings!$B$3*Settings!$B$5,0))</f>
        <v/>
      </c>
      <c r="U283" s="42">
        <f>IF(OR(L283="",M283="",R283=""),"",ABS(L283-M283)*R283*IF(S283="",1,S283))</f>
        <v/>
      </c>
      <c r="V283" s="26">
        <f>IFERROR(ABS(N283-L283)/ABS(L283-M283),"")</f>
        <v/>
      </c>
      <c r="W283" s="23" t="n"/>
      <c r="X283" s="23" t="n"/>
      <c r="Y283" s="23" t="n"/>
      <c r="Z283" s="23" t="n"/>
      <c r="AA283" s="23" t="n"/>
      <c r="AB283" s="23" t="n"/>
      <c r="AC283" s="23" t="n"/>
      <c r="AD283" s="42">
        <f>IF(OR(L283="",Q283="",R283=""),"",IF(H283="Long",(Q283-L283)*R283*IF(S283="",1,S283),(L283-Q283)*R283*IF(S283="",1,S283)))</f>
        <v/>
      </c>
      <c r="AE283" s="41" t="n"/>
      <c r="AF283" s="41" t="n"/>
      <c r="AG283" s="42">
        <f>IF(AD283="","",AD283-IF(AE283="",0,AE283)-IF(AF283="",0,AF283))</f>
        <v/>
      </c>
      <c r="AH283" s="26">
        <f>IFERROR(AG283/U283,"")</f>
        <v/>
      </c>
      <c r="AI283" s="23" t="n"/>
      <c r="AJ283" s="23" t="n"/>
      <c r="AK283" s="23" t="n"/>
      <c r="AL283" s="23" t="n"/>
    </row>
    <row r="284">
      <c r="A284" s="20">
        <f>IF(B284="","","TR-"&amp;TEXT(ROW()-2,"0000"))</f>
        <v/>
      </c>
      <c r="B284" s="43" t="n"/>
      <c r="C284" s="44" t="n"/>
      <c r="D284" s="44" t="n"/>
      <c r="E284" s="29" t="n"/>
      <c r="F284" s="29" t="n"/>
      <c r="G284" s="29" t="n"/>
      <c r="H284" s="29" t="n"/>
      <c r="I284" s="29" t="n"/>
      <c r="J284" s="29" t="n"/>
      <c r="K284" s="29" t="n"/>
      <c r="L284" s="45" t="n"/>
      <c r="M284" s="45" t="n"/>
      <c r="N284" s="45" t="n"/>
      <c r="O284" s="45" t="n"/>
      <c r="P284" s="45" t="n"/>
      <c r="Q284" s="45" t="n"/>
      <c r="R284" s="29" t="n"/>
      <c r="S284" s="29" t="n"/>
      <c r="T284" s="42">
        <f>IF(OR(L284="",M284=""),"",IFERROR(Settings!$B$3*Settings!$B$5,0))</f>
        <v/>
      </c>
      <c r="U284" s="42">
        <f>IF(OR(L284="",M284="",R284=""),"",ABS(L284-M284)*R284*IF(S284="",1,S284))</f>
        <v/>
      </c>
      <c r="V284" s="26">
        <f>IFERROR(ABS(N284-L284)/ABS(L284-M284),"")</f>
        <v/>
      </c>
      <c r="W284" s="29" t="n"/>
      <c r="X284" s="29" t="n"/>
      <c r="Y284" s="29" t="n"/>
      <c r="Z284" s="29" t="n"/>
      <c r="AA284" s="29" t="n"/>
      <c r="AB284" s="29" t="n"/>
      <c r="AC284" s="29" t="n"/>
      <c r="AD284" s="42">
        <f>IF(OR(L284="",Q284="",R284=""),"",IF(H284="Long",(Q284-L284)*R284*IF(S284="",1,S284),(L284-Q284)*R284*IF(S284="",1,S284)))</f>
        <v/>
      </c>
      <c r="AE284" s="45" t="n"/>
      <c r="AF284" s="45" t="n"/>
      <c r="AG284" s="42">
        <f>IF(AD284="","",AD284-IF(AE284="",0,AE284)-IF(AF284="",0,AF284))</f>
        <v/>
      </c>
      <c r="AH284" s="26">
        <f>IFERROR(AG284/U284,"")</f>
        <v/>
      </c>
      <c r="AI284" s="29" t="n"/>
      <c r="AJ284" s="29" t="n"/>
      <c r="AK284" s="29" t="n"/>
      <c r="AL284" s="29" t="n"/>
    </row>
    <row r="285">
      <c r="A285" s="20">
        <f>IF(B285="","","TR-"&amp;TEXT(ROW()-2,"0000"))</f>
        <v/>
      </c>
      <c r="B285" s="39" t="n"/>
      <c r="C285" s="40" t="n"/>
      <c r="D285" s="40" t="n"/>
      <c r="E285" s="23" t="n"/>
      <c r="F285" s="23" t="n"/>
      <c r="G285" s="23" t="n"/>
      <c r="H285" s="23" t="n"/>
      <c r="I285" s="23" t="n"/>
      <c r="J285" s="23" t="n"/>
      <c r="K285" s="23" t="n"/>
      <c r="L285" s="41" t="n"/>
      <c r="M285" s="41" t="n"/>
      <c r="N285" s="41" t="n"/>
      <c r="O285" s="41" t="n"/>
      <c r="P285" s="41" t="n"/>
      <c r="Q285" s="41" t="n"/>
      <c r="R285" s="23" t="n"/>
      <c r="S285" s="23" t="n"/>
      <c r="T285" s="42">
        <f>IF(OR(L285="",M285=""),"",IFERROR(Settings!$B$3*Settings!$B$5,0))</f>
        <v/>
      </c>
      <c r="U285" s="42">
        <f>IF(OR(L285="",M285="",R285=""),"",ABS(L285-M285)*R285*IF(S285="",1,S285))</f>
        <v/>
      </c>
      <c r="V285" s="26">
        <f>IFERROR(ABS(N285-L285)/ABS(L285-M285),"")</f>
        <v/>
      </c>
      <c r="W285" s="23" t="n"/>
      <c r="X285" s="23" t="n"/>
      <c r="Y285" s="23" t="n"/>
      <c r="Z285" s="23" t="n"/>
      <c r="AA285" s="23" t="n"/>
      <c r="AB285" s="23" t="n"/>
      <c r="AC285" s="23" t="n"/>
      <c r="AD285" s="42">
        <f>IF(OR(L285="",Q285="",R285=""),"",IF(H285="Long",(Q285-L285)*R285*IF(S285="",1,S285),(L285-Q285)*R285*IF(S285="",1,S285)))</f>
        <v/>
      </c>
      <c r="AE285" s="41" t="n"/>
      <c r="AF285" s="41" t="n"/>
      <c r="AG285" s="42">
        <f>IF(AD285="","",AD285-IF(AE285="",0,AE285)-IF(AF285="",0,AF285))</f>
        <v/>
      </c>
      <c r="AH285" s="26">
        <f>IFERROR(AG285/U285,"")</f>
        <v/>
      </c>
      <c r="AI285" s="23" t="n"/>
      <c r="AJ285" s="23" t="n"/>
      <c r="AK285" s="23" t="n"/>
      <c r="AL285" s="23" t="n"/>
    </row>
    <row r="286">
      <c r="A286" s="20">
        <f>IF(B286="","","TR-"&amp;TEXT(ROW()-2,"0000"))</f>
        <v/>
      </c>
      <c r="B286" s="43" t="n"/>
      <c r="C286" s="44" t="n"/>
      <c r="D286" s="44" t="n"/>
      <c r="E286" s="29" t="n"/>
      <c r="F286" s="29" t="n"/>
      <c r="G286" s="29" t="n"/>
      <c r="H286" s="29" t="n"/>
      <c r="I286" s="29" t="n"/>
      <c r="J286" s="29" t="n"/>
      <c r="K286" s="29" t="n"/>
      <c r="L286" s="45" t="n"/>
      <c r="M286" s="45" t="n"/>
      <c r="N286" s="45" t="n"/>
      <c r="O286" s="45" t="n"/>
      <c r="P286" s="45" t="n"/>
      <c r="Q286" s="45" t="n"/>
      <c r="R286" s="29" t="n"/>
      <c r="S286" s="29" t="n"/>
      <c r="T286" s="42">
        <f>IF(OR(L286="",M286=""),"",IFERROR(Settings!$B$3*Settings!$B$5,0))</f>
        <v/>
      </c>
      <c r="U286" s="42">
        <f>IF(OR(L286="",M286="",R286=""),"",ABS(L286-M286)*R286*IF(S286="",1,S286))</f>
        <v/>
      </c>
      <c r="V286" s="26">
        <f>IFERROR(ABS(N286-L286)/ABS(L286-M286),"")</f>
        <v/>
      </c>
      <c r="W286" s="29" t="n"/>
      <c r="X286" s="29" t="n"/>
      <c r="Y286" s="29" t="n"/>
      <c r="Z286" s="29" t="n"/>
      <c r="AA286" s="29" t="n"/>
      <c r="AB286" s="29" t="n"/>
      <c r="AC286" s="29" t="n"/>
      <c r="AD286" s="42">
        <f>IF(OR(L286="",Q286="",R286=""),"",IF(H286="Long",(Q286-L286)*R286*IF(S286="",1,S286),(L286-Q286)*R286*IF(S286="",1,S286)))</f>
        <v/>
      </c>
      <c r="AE286" s="45" t="n"/>
      <c r="AF286" s="45" t="n"/>
      <c r="AG286" s="42">
        <f>IF(AD286="","",AD286-IF(AE286="",0,AE286)-IF(AF286="",0,AF286))</f>
        <v/>
      </c>
      <c r="AH286" s="26">
        <f>IFERROR(AG286/U286,"")</f>
        <v/>
      </c>
      <c r="AI286" s="29" t="n"/>
      <c r="AJ286" s="29" t="n"/>
      <c r="AK286" s="29" t="n"/>
      <c r="AL286" s="29" t="n"/>
    </row>
    <row r="287">
      <c r="A287" s="20">
        <f>IF(B287="","","TR-"&amp;TEXT(ROW()-2,"0000"))</f>
        <v/>
      </c>
      <c r="B287" s="39" t="n"/>
      <c r="C287" s="40" t="n"/>
      <c r="D287" s="40" t="n"/>
      <c r="E287" s="23" t="n"/>
      <c r="F287" s="23" t="n"/>
      <c r="G287" s="23" t="n"/>
      <c r="H287" s="23" t="n"/>
      <c r="I287" s="23" t="n"/>
      <c r="J287" s="23" t="n"/>
      <c r="K287" s="23" t="n"/>
      <c r="L287" s="41" t="n"/>
      <c r="M287" s="41" t="n"/>
      <c r="N287" s="41" t="n"/>
      <c r="O287" s="41" t="n"/>
      <c r="P287" s="41" t="n"/>
      <c r="Q287" s="41" t="n"/>
      <c r="R287" s="23" t="n"/>
      <c r="S287" s="23" t="n"/>
      <c r="T287" s="42">
        <f>IF(OR(L287="",M287=""),"",IFERROR(Settings!$B$3*Settings!$B$5,0))</f>
        <v/>
      </c>
      <c r="U287" s="42">
        <f>IF(OR(L287="",M287="",R287=""),"",ABS(L287-M287)*R287*IF(S287="",1,S287))</f>
        <v/>
      </c>
      <c r="V287" s="26">
        <f>IFERROR(ABS(N287-L287)/ABS(L287-M287),"")</f>
        <v/>
      </c>
      <c r="W287" s="23" t="n"/>
      <c r="X287" s="23" t="n"/>
      <c r="Y287" s="23" t="n"/>
      <c r="Z287" s="23" t="n"/>
      <c r="AA287" s="23" t="n"/>
      <c r="AB287" s="23" t="n"/>
      <c r="AC287" s="23" t="n"/>
      <c r="AD287" s="42">
        <f>IF(OR(L287="",Q287="",R287=""),"",IF(H287="Long",(Q287-L287)*R287*IF(S287="",1,S287),(L287-Q287)*R287*IF(S287="",1,S287)))</f>
        <v/>
      </c>
      <c r="AE287" s="41" t="n"/>
      <c r="AF287" s="41" t="n"/>
      <c r="AG287" s="42">
        <f>IF(AD287="","",AD287-IF(AE287="",0,AE287)-IF(AF287="",0,AF287))</f>
        <v/>
      </c>
      <c r="AH287" s="26">
        <f>IFERROR(AG287/U287,"")</f>
        <v/>
      </c>
      <c r="AI287" s="23" t="n"/>
      <c r="AJ287" s="23" t="n"/>
      <c r="AK287" s="23" t="n"/>
      <c r="AL287" s="23" t="n"/>
    </row>
    <row r="288">
      <c r="A288" s="20">
        <f>IF(B288="","","TR-"&amp;TEXT(ROW()-2,"0000"))</f>
        <v/>
      </c>
      <c r="B288" s="43" t="n"/>
      <c r="C288" s="44" t="n"/>
      <c r="D288" s="44" t="n"/>
      <c r="E288" s="29" t="n"/>
      <c r="F288" s="29" t="n"/>
      <c r="G288" s="29" t="n"/>
      <c r="H288" s="29" t="n"/>
      <c r="I288" s="29" t="n"/>
      <c r="J288" s="29" t="n"/>
      <c r="K288" s="29" t="n"/>
      <c r="L288" s="45" t="n"/>
      <c r="M288" s="45" t="n"/>
      <c r="N288" s="45" t="n"/>
      <c r="O288" s="45" t="n"/>
      <c r="P288" s="45" t="n"/>
      <c r="Q288" s="45" t="n"/>
      <c r="R288" s="29" t="n"/>
      <c r="S288" s="29" t="n"/>
      <c r="T288" s="42">
        <f>IF(OR(L288="",M288=""),"",IFERROR(Settings!$B$3*Settings!$B$5,0))</f>
        <v/>
      </c>
      <c r="U288" s="42">
        <f>IF(OR(L288="",M288="",R288=""),"",ABS(L288-M288)*R288*IF(S288="",1,S288))</f>
        <v/>
      </c>
      <c r="V288" s="26">
        <f>IFERROR(ABS(N288-L288)/ABS(L288-M288),"")</f>
        <v/>
      </c>
      <c r="W288" s="29" t="n"/>
      <c r="X288" s="29" t="n"/>
      <c r="Y288" s="29" t="n"/>
      <c r="Z288" s="29" t="n"/>
      <c r="AA288" s="29" t="n"/>
      <c r="AB288" s="29" t="n"/>
      <c r="AC288" s="29" t="n"/>
      <c r="AD288" s="42">
        <f>IF(OR(L288="",Q288="",R288=""),"",IF(H288="Long",(Q288-L288)*R288*IF(S288="",1,S288),(L288-Q288)*R288*IF(S288="",1,S288)))</f>
        <v/>
      </c>
      <c r="AE288" s="45" t="n"/>
      <c r="AF288" s="45" t="n"/>
      <c r="AG288" s="42">
        <f>IF(AD288="","",AD288-IF(AE288="",0,AE288)-IF(AF288="",0,AF288))</f>
        <v/>
      </c>
      <c r="AH288" s="26">
        <f>IFERROR(AG288/U288,"")</f>
        <v/>
      </c>
      <c r="AI288" s="29" t="n"/>
      <c r="AJ288" s="29" t="n"/>
      <c r="AK288" s="29" t="n"/>
      <c r="AL288" s="29" t="n"/>
    </row>
    <row r="289">
      <c r="A289" s="20">
        <f>IF(B289="","","TR-"&amp;TEXT(ROW()-2,"0000"))</f>
        <v/>
      </c>
      <c r="B289" s="39" t="n"/>
      <c r="C289" s="40" t="n"/>
      <c r="D289" s="40" t="n"/>
      <c r="E289" s="23" t="n"/>
      <c r="F289" s="23" t="n"/>
      <c r="G289" s="23" t="n"/>
      <c r="H289" s="23" t="n"/>
      <c r="I289" s="23" t="n"/>
      <c r="J289" s="23" t="n"/>
      <c r="K289" s="23" t="n"/>
      <c r="L289" s="41" t="n"/>
      <c r="M289" s="41" t="n"/>
      <c r="N289" s="41" t="n"/>
      <c r="O289" s="41" t="n"/>
      <c r="P289" s="41" t="n"/>
      <c r="Q289" s="41" t="n"/>
      <c r="R289" s="23" t="n"/>
      <c r="S289" s="23" t="n"/>
      <c r="T289" s="42">
        <f>IF(OR(L289="",M289=""),"",IFERROR(Settings!$B$3*Settings!$B$5,0))</f>
        <v/>
      </c>
      <c r="U289" s="42">
        <f>IF(OR(L289="",M289="",R289=""),"",ABS(L289-M289)*R289*IF(S289="",1,S289))</f>
        <v/>
      </c>
      <c r="V289" s="26">
        <f>IFERROR(ABS(N289-L289)/ABS(L289-M289),"")</f>
        <v/>
      </c>
      <c r="W289" s="23" t="n"/>
      <c r="X289" s="23" t="n"/>
      <c r="Y289" s="23" t="n"/>
      <c r="Z289" s="23" t="n"/>
      <c r="AA289" s="23" t="n"/>
      <c r="AB289" s="23" t="n"/>
      <c r="AC289" s="23" t="n"/>
      <c r="AD289" s="42">
        <f>IF(OR(L289="",Q289="",R289=""),"",IF(H289="Long",(Q289-L289)*R289*IF(S289="",1,S289),(L289-Q289)*R289*IF(S289="",1,S289)))</f>
        <v/>
      </c>
      <c r="AE289" s="41" t="n"/>
      <c r="AF289" s="41" t="n"/>
      <c r="AG289" s="42">
        <f>IF(AD289="","",AD289-IF(AE289="",0,AE289)-IF(AF289="",0,AF289))</f>
        <v/>
      </c>
      <c r="AH289" s="26">
        <f>IFERROR(AG289/U289,"")</f>
        <v/>
      </c>
      <c r="AI289" s="23" t="n"/>
      <c r="AJ289" s="23" t="n"/>
      <c r="AK289" s="23" t="n"/>
      <c r="AL289" s="23" t="n"/>
    </row>
    <row r="290">
      <c r="A290" s="20">
        <f>IF(B290="","","TR-"&amp;TEXT(ROW()-2,"0000"))</f>
        <v/>
      </c>
      <c r="B290" s="43" t="n"/>
      <c r="C290" s="44" t="n"/>
      <c r="D290" s="44" t="n"/>
      <c r="E290" s="29" t="n"/>
      <c r="F290" s="29" t="n"/>
      <c r="G290" s="29" t="n"/>
      <c r="H290" s="29" t="n"/>
      <c r="I290" s="29" t="n"/>
      <c r="J290" s="29" t="n"/>
      <c r="K290" s="29" t="n"/>
      <c r="L290" s="45" t="n"/>
      <c r="M290" s="45" t="n"/>
      <c r="N290" s="45" t="n"/>
      <c r="O290" s="45" t="n"/>
      <c r="P290" s="45" t="n"/>
      <c r="Q290" s="45" t="n"/>
      <c r="R290" s="29" t="n"/>
      <c r="S290" s="29" t="n"/>
      <c r="T290" s="42">
        <f>IF(OR(L290="",M290=""),"",IFERROR(Settings!$B$3*Settings!$B$5,0))</f>
        <v/>
      </c>
      <c r="U290" s="42">
        <f>IF(OR(L290="",M290="",R290=""),"",ABS(L290-M290)*R290*IF(S290="",1,S290))</f>
        <v/>
      </c>
      <c r="V290" s="26">
        <f>IFERROR(ABS(N290-L290)/ABS(L290-M290),"")</f>
        <v/>
      </c>
      <c r="W290" s="29" t="n"/>
      <c r="X290" s="29" t="n"/>
      <c r="Y290" s="29" t="n"/>
      <c r="Z290" s="29" t="n"/>
      <c r="AA290" s="29" t="n"/>
      <c r="AB290" s="29" t="n"/>
      <c r="AC290" s="29" t="n"/>
      <c r="AD290" s="42">
        <f>IF(OR(L290="",Q290="",R290=""),"",IF(H290="Long",(Q290-L290)*R290*IF(S290="",1,S290),(L290-Q290)*R290*IF(S290="",1,S290)))</f>
        <v/>
      </c>
      <c r="AE290" s="45" t="n"/>
      <c r="AF290" s="45" t="n"/>
      <c r="AG290" s="42">
        <f>IF(AD290="","",AD290-IF(AE290="",0,AE290)-IF(AF290="",0,AF290))</f>
        <v/>
      </c>
      <c r="AH290" s="26">
        <f>IFERROR(AG290/U290,"")</f>
        <v/>
      </c>
      <c r="AI290" s="29" t="n"/>
      <c r="AJ290" s="29" t="n"/>
      <c r="AK290" s="29" t="n"/>
      <c r="AL290" s="29" t="n"/>
    </row>
    <row r="291">
      <c r="A291" s="20">
        <f>IF(B291="","","TR-"&amp;TEXT(ROW()-2,"0000"))</f>
        <v/>
      </c>
      <c r="B291" s="39" t="n"/>
      <c r="C291" s="40" t="n"/>
      <c r="D291" s="40" t="n"/>
      <c r="E291" s="23" t="n"/>
      <c r="F291" s="23" t="n"/>
      <c r="G291" s="23" t="n"/>
      <c r="H291" s="23" t="n"/>
      <c r="I291" s="23" t="n"/>
      <c r="J291" s="23" t="n"/>
      <c r="K291" s="23" t="n"/>
      <c r="L291" s="41" t="n"/>
      <c r="M291" s="41" t="n"/>
      <c r="N291" s="41" t="n"/>
      <c r="O291" s="41" t="n"/>
      <c r="P291" s="41" t="n"/>
      <c r="Q291" s="41" t="n"/>
      <c r="R291" s="23" t="n"/>
      <c r="S291" s="23" t="n"/>
      <c r="T291" s="42">
        <f>IF(OR(L291="",M291=""),"",IFERROR(Settings!$B$3*Settings!$B$5,0))</f>
        <v/>
      </c>
      <c r="U291" s="42">
        <f>IF(OR(L291="",M291="",R291=""),"",ABS(L291-M291)*R291*IF(S291="",1,S291))</f>
        <v/>
      </c>
      <c r="V291" s="26">
        <f>IFERROR(ABS(N291-L291)/ABS(L291-M291),"")</f>
        <v/>
      </c>
      <c r="W291" s="23" t="n"/>
      <c r="X291" s="23" t="n"/>
      <c r="Y291" s="23" t="n"/>
      <c r="Z291" s="23" t="n"/>
      <c r="AA291" s="23" t="n"/>
      <c r="AB291" s="23" t="n"/>
      <c r="AC291" s="23" t="n"/>
      <c r="AD291" s="42">
        <f>IF(OR(L291="",Q291="",R291=""),"",IF(H291="Long",(Q291-L291)*R291*IF(S291="",1,S291),(L291-Q291)*R291*IF(S291="",1,S291)))</f>
        <v/>
      </c>
      <c r="AE291" s="41" t="n"/>
      <c r="AF291" s="41" t="n"/>
      <c r="AG291" s="42">
        <f>IF(AD291="","",AD291-IF(AE291="",0,AE291)-IF(AF291="",0,AF291))</f>
        <v/>
      </c>
      <c r="AH291" s="26">
        <f>IFERROR(AG291/U291,"")</f>
        <v/>
      </c>
      <c r="AI291" s="23" t="n"/>
      <c r="AJ291" s="23" t="n"/>
      <c r="AK291" s="23" t="n"/>
      <c r="AL291" s="23" t="n"/>
    </row>
    <row r="292">
      <c r="A292" s="20">
        <f>IF(B292="","","TR-"&amp;TEXT(ROW()-2,"0000"))</f>
        <v/>
      </c>
      <c r="B292" s="43" t="n"/>
      <c r="C292" s="44" t="n"/>
      <c r="D292" s="44" t="n"/>
      <c r="E292" s="29" t="n"/>
      <c r="F292" s="29" t="n"/>
      <c r="G292" s="29" t="n"/>
      <c r="H292" s="29" t="n"/>
      <c r="I292" s="29" t="n"/>
      <c r="J292" s="29" t="n"/>
      <c r="K292" s="29" t="n"/>
      <c r="L292" s="45" t="n"/>
      <c r="M292" s="45" t="n"/>
      <c r="N292" s="45" t="n"/>
      <c r="O292" s="45" t="n"/>
      <c r="P292" s="45" t="n"/>
      <c r="Q292" s="45" t="n"/>
      <c r="R292" s="29" t="n"/>
      <c r="S292" s="29" t="n"/>
      <c r="T292" s="42">
        <f>IF(OR(L292="",M292=""),"",IFERROR(Settings!$B$3*Settings!$B$5,0))</f>
        <v/>
      </c>
      <c r="U292" s="42">
        <f>IF(OR(L292="",M292="",R292=""),"",ABS(L292-M292)*R292*IF(S292="",1,S292))</f>
        <v/>
      </c>
      <c r="V292" s="26">
        <f>IFERROR(ABS(N292-L292)/ABS(L292-M292),"")</f>
        <v/>
      </c>
      <c r="W292" s="29" t="n"/>
      <c r="X292" s="29" t="n"/>
      <c r="Y292" s="29" t="n"/>
      <c r="Z292" s="29" t="n"/>
      <c r="AA292" s="29" t="n"/>
      <c r="AB292" s="29" t="n"/>
      <c r="AC292" s="29" t="n"/>
      <c r="AD292" s="42">
        <f>IF(OR(L292="",Q292="",R292=""),"",IF(H292="Long",(Q292-L292)*R292*IF(S292="",1,S292),(L292-Q292)*R292*IF(S292="",1,S292)))</f>
        <v/>
      </c>
      <c r="AE292" s="45" t="n"/>
      <c r="AF292" s="45" t="n"/>
      <c r="AG292" s="42">
        <f>IF(AD292="","",AD292-IF(AE292="",0,AE292)-IF(AF292="",0,AF292))</f>
        <v/>
      </c>
      <c r="AH292" s="26">
        <f>IFERROR(AG292/U292,"")</f>
        <v/>
      </c>
      <c r="AI292" s="29" t="n"/>
      <c r="AJ292" s="29" t="n"/>
      <c r="AK292" s="29" t="n"/>
      <c r="AL292" s="29" t="n"/>
    </row>
    <row r="293">
      <c r="A293" s="20">
        <f>IF(B293="","","TR-"&amp;TEXT(ROW()-2,"0000"))</f>
        <v/>
      </c>
      <c r="B293" s="39" t="n"/>
      <c r="C293" s="40" t="n"/>
      <c r="D293" s="40" t="n"/>
      <c r="E293" s="23" t="n"/>
      <c r="F293" s="23" t="n"/>
      <c r="G293" s="23" t="n"/>
      <c r="H293" s="23" t="n"/>
      <c r="I293" s="23" t="n"/>
      <c r="J293" s="23" t="n"/>
      <c r="K293" s="23" t="n"/>
      <c r="L293" s="41" t="n"/>
      <c r="M293" s="41" t="n"/>
      <c r="N293" s="41" t="n"/>
      <c r="O293" s="41" t="n"/>
      <c r="P293" s="41" t="n"/>
      <c r="Q293" s="41" t="n"/>
      <c r="R293" s="23" t="n"/>
      <c r="S293" s="23" t="n"/>
      <c r="T293" s="42">
        <f>IF(OR(L293="",M293=""),"",IFERROR(Settings!$B$3*Settings!$B$5,0))</f>
        <v/>
      </c>
      <c r="U293" s="42">
        <f>IF(OR(L293="",M293="",R293=""),"",ABS(L293-M293)*R293*IF(S293="",1,S293))</f>
        <v/>
      </c>
      <c r="V293" s="26">
        <f>IFERROR(ABS(N293-L293)/ABS(L293-M293),"")</f>
        <v/>
      </c>
      <c r="W293" s="23" t="n"/>
      <c r="X293" s="23" t="n"/>
      <c r="Y293" s="23" t="n"/>
      <c r="Z293" s="23" t="n"/>
      <c r="AA293" s="23" t="n"/>
      <c r="AB293" s="23" t="n"/>
      <c r="AC293" s="23" t="n"/>
      <c r="AD293" s="42">
        <f>IF(OR(L293="",Q293="",R293=""),"",IF(H293="Long",(Q293-L293)*R293*IF(S293="",1,S293),(L293-Q293)*R293*IF(S293="",1,S293)))</f>
        <v/>
      </c>
      <c r="AE293" s="41" t="n"/>
      <c r="AF293" s="41" t="n"/>
      <c r="AG293" s="42">
        <f>IF(AD293="","",AD293-IF(AE293="",0,AE293)-IF(AF293="",0,AF293))</f>
        <v/>
      </c>
      <c r="AH293" s="26">
        <f>IFERROR(AG293/U293,"")</f>
        <v/>
      </c>
      <c r="AI293" s="23" t="n"/>
      <c r="AJ293" s="23" t="n"/>
      <c r="AK293" s="23" t="n"/>
      <c r="AL293" s="23" t="n"/>
    </row>
    <row r="294">
      <c r="A294" s="20">
        <f>IF(B294="","","TR-"&amp;TEXT(ROW()-2,"0000"))</f>
        <v/>
      </c>
      <c r="B294" s="43" t="n"/>
      <c r="C294" s="44" t="n"/>
      <c r="D294" s="44" t="n"/>
      <c r="E294" s="29" t="n"/>
      <c r="F294" s="29" t="n"/>
      <c r="G294" s="29" t="n"/>
      <c r="H294" s="29" t="n"/>
      <c r="I294" s="29" t="n"/>
      <c r="J294" s="29" t="n"/>
      <c r="K294" s="29" t="n"/>
      <c r="L294" s="45" t="n"/>
      <c r="M294" s="45" t="n"/>
      <c r="N294" s="45" t="n"/>
      <c r="O294" s="45" t="n"/>
      <c r="P294" s="45" t="n"/>
      <c r="Q294" s="45" t="n"/>
      <c r="R294" s="29" t="n"/>
      <c r="S294" s="29" t="n"/>
      <c r="T294" s="42">
        <f>IF(OR(L294="",M294=""),"",IFERROR(Settings!$B$3*Settings!$B$5,0))</f>
        <v/>
      </c>
      <c r="U294" s="42">
        <f>IF(OR(L294="",M294="",R294=""),"",ABS(L294-M294)*R294*IF(S294="",1,S294))</f>
        <v/>
      </c>
      <c r="V294" s="26">
        <f>IFERROR(ABS(N294-L294)/ABS(L294-M294),"")</f>
        <v/>
      </c>
      <c r="W294" s="29" t="n"/>
      <c r="X294" s="29" t="n"/>
      <c r="Y294" s="29" t="n"/>
      <c r="Z294" s="29" t="n"/>
      <c r="AA294" s="29" t="n"/>
      <c r="AB294" s="29" t="n"/>
      <c r="AC294" s="29" t="n"/>
      <c r="AD294" s="42">
        <f>IF(OR(L294="",Q294="",R294=""),"",IF(H294="Long",(Q294-L294)*R294*IF(S294="",1,S294),(L294-Q294)*R294*IF(S294="",1,S294)))</f>
        <v/>
      </c>
      <c r="AE294" s="45" t="n"/>
      <c r="AF294" s="45" t="n"/>
      <c r="AG294" s="42">
        <f>IF(AD294="","",AD294-IF(AE294="",0,AE294)-IF(AF294="",0,AF294))</f>
        <v/>
      </c>
      <c r="AH294" s="26">
        <f>IFERROR(AG294/U294,"")</f>
        <v/>
      </c>
      <c r="AI294" s="29" t="n"/>
      <c r="AJ294" s="29" t="n"/>
      <c r="AK294" s="29" t="n"/>
      <c r="AL294" s="29" t="n"/>
    </row>
    <row r="295">
      <c r="A295" s="20">
        <f>IF(B295="","","TR-"&amp;TEXT(ROW()-2,"0000"))</f>
        <v/>
      </c>
      <c r="B295" s="39" t="n"/>
      <c r="C295" s="40" t="n"/>
      <c r="D295" s="40" t="n"/>
      <c r="E295" s="23" t="n"/>
      <c r="F295" s="23" t="n"/>
      <c r="G295" s="23" t="n"/>
      <c r="H295" s="23" t="n"/>
      <c r="I295" s="23" t="n"/>
      <c r="J295" s="23" t="n"/>
      <c r="K295" s="23" t="n"/>
      <c r="L295" s="41" t="n"/>
      <c r="M295" s="41" t="n"/>
      <c r="N295" s="41" t="n"/>
      <c r="O295" s="41" t="n"/>
      <c r="P295" s="41" t="n"/>
      <c r="Q295" s="41" t="n"/>
      <c r="R295" s="23" t="n"/>
      <c r="S295" s="23" t="n"/>
      <c r="T295" s="42">
        <f>IF(OR(L295="",M295=""),"",IFERROR(Settings!$B$3*Settings!$B$5,0))</f>
        <v/>
      </c>
      <c r="U295" s="42">
        <f>IF(OR(L295="",M295="",R295=""),"",ABS(L295-M295)*R295*IF(S295="",1,S295))</f>
        <v/>
      </c>
      <c r="V295" s="26">
        <f>IFERROR(ABS(N295-L295)/ABS(L295-M295),"")</f>
        <v/>
      </c>
      <c r="W295" s="23" t="n"/>
      <c r="X295" s="23" t="n"/>
      <c r="Y295" s="23" t="n"/>
      <c r="Z295" s="23" t="n"/>
      <c r="AA295" s="23" t="n"/>
      <c r="AB295" s="23" t="n"/>
      <c r="AC295" s="23" t="n"/>
      <c r="AD295" s="42">
        <f>IF(OR(L295="",Q295="",R295=""),"",IF(H295="Long",(Q295-L295)*R295*IF(S295="",1,S295),(L295-Q295)*R295*IF(S295="",1,S295)))</f>
        <v/>
      </c>
      <c r="AE295" s="41" t="n"/>
      <c r="AF295" s="41" t="n"/>
      <c r="AG295" s="42">
        <f>IF(AD295="","",AD295-IF(AE295="",0,AE295)-IF(AF295="",0,AF295))</f>
        <v/>
      </c>
      <c r="AH295" s="26">
        <f>IFERROR(AG295/U295,"")</f>
        <v/>
      </c>
      <c r="AI295" s="23" t="n"/>
      <c r="AJ295" s="23" t="n"/>
      <c r="AK295" s="23" t="n"/>
      <c r="AL295" s="23" t="n"/>
    </row>
    <row r="296">
      <c r="A296" s="20">
        <f>IF(B296="","","TR-"&amp;TEXT(ROW()-2,"0000"))</f>
        <v/>
      </c>
      <c r="B296" s="43" t="n"/>
      <c r="C296" s="44" t="n"/>
      <c r="D296" s="44" t="n"/>
      <c r="E296" s="29" t="n"/>
      <c r="F296" s="29" t="n"/>
      <c r="G296" s="29" t="n"/>
      <c r="H296" s="29" t="n"/>
      <c r="I296" s="29" t="n"/>
      <c r="J296" s="29" t="n"/>
      <c r="K296" s="29" t="n"/>
      <c r="L296" s="45" t="n"/>
      <c r="M296" s="45" t="n"/>
      <c r="N296" s="45" t="n"/>
      <c r="O296" s="45" t="n"/>
      <c r="P296" s="45" t="n"/>
      <c r="Q296" s="45" t="n"/>
      <c r="R296" s="29" t="n"/>
      <c r="S296" s="29" t="n"/>
      <c r="T296" s="42">
        <f>IF(OR(L296="",M296=""),"",IFERROR(Settings!$B$3*Settings!$B$5,0))</f>
        <v/>
      </c>
      <c r="U296" s="42">
        <f>IF(OR(L296="",M296="",R296=""),"",ABS(L296-M296)*R296*IF(S296="",1,S296))</f>
        <v/>
      </c>
      <c r="V296" s="26">
        <f>IFERROR(ABS(N296-L296)/ABS(L296-M296),"")</f>
        <v/>
      </c>
      <c r="W296" s="29" t="n"/>
      <c r="X296" s="29" t="n"/>
      <c r="Y296" s="29" t="n"/>
      <c r="Z296" s="29" t="n"/>
      <c r="AA296" s="29" t="n"/>
      <c r="AB296" s="29" t="n"/>
      <c r="AC296" s="29" t="n"/>
      <c r="AD296" s="42">
        <f>IF(OR(L296="",Q296="",R296=""),"",IF(H296="Long",(Q296-L296)*R296*IF(S296="",1,S296),(L296-Q296)*R296*IF(S296="",1,S296)))</f>
        <v/>
      </c>
      <c r="AE296" s="45" t="n"/>
      <c r="AF296" s="45" t="n"/>
      <c r="AG296" s="42">
        <f>IF(AD296="","",AD296-IF(AE296="",0,AE296)-IF(AF296="",0,AF296))</f>
        <v/>
      </c>
      <c r="AH296" s="26">
        <f>IFERROR(AG296/U296,"")</f>
        <v/>
      </c>
      <c r="AI296" s="29" t="n"/>
      <c r="AJ296" s="29" t="n"/>
      <c r="AK296" s="29" t="n"/>
      <c r="AL296" s="29" t="n"/>
    </row>
    <row r="297">
      <c r="A297" s="20">
        <f>IF(B297="","","TR-"&amp;TEXT(ROW()-2,"0000"))</f>
        <v/>
      </c>
      <c r="B297" s="39" t="n"/>
      <c r="C297" s="40" t="n"/>
      <c r="D297" s="40" t="n"/>
      <c r="E297" s="23" t="n"/>
      <c r="F297" s="23" t="n"/>
      <c r="G297" s="23" t="n"/>
      <c r="H297" s="23" t="n"/>
      <c r="I297" s="23" t="n"/>
      <c r="J297" s="23" t="n"/>
      <c r="K297" s="23" t="n"/>
      <c r="L297" s="41" t="n"/>
      <c r="M297" s="41" t="n"/>
      <c r="N297" s="41" t="n"/>
      <c r="O297" s="41" t="n"/>
      <c r="P297" s="41" t="n"/>
      <c r="Q297" s="41" t="n"/>
      <c r="R297" s="23" t="n"/>
      <c r="S297" s="23" t="n"/>
      <c r="T297" s="42">
        <f>IF(OR(L297="",M297=""),"",IFERROR(Settings!$B$3*Settings!$B$5,0))</f>
        <v/>
      </c>
      <c r="U297" s="42">
        <f>IF(OR(L297="",M297="",R297=""),"",ABS(L297-M297)*R297*IF(S297="",1,S297))</f>
        <v/>
      </c>
      <c r="V297" s="26">
        <f>IFERROR(ABS(N297-L297)/ABS(L297-M297),"")</f>
        <v/>
      </c>
      <c r="W297" s="23" t="n"/>
      <c r="X297" s="23" t="n"/>
      <c r="Y297" s="23" t="n"/>
      <c r="Z297" s="23" t="n"/>
      <c r="AA297" s="23" t="n"/>
      <c r="AB297" s="23" t="n"/>
      <c r="AC297" s="23" t="n"/>
      <c r="AD297" s="42">
        <f>IF(OR(L297="",Q297="",R297=""),"",IF(H297="Long",(Q297-L297)*R297*IF(S297="",1,S297),(L297-Q297)*R297*IF(S297="",1,S297)))</f>
        <v/>
      </c>
      <c r="AE297" s="41" t="n"/>
      <c r="AF297" s="41" t="n"/>
      <c r="AG297" s="42">
        <f>IF(AD297="","",AD297-IF(AE297="",0,AE297)-IF(AF297="",0,AF297))</f>
        <v/>
      </c>
      <c r="AH297" s="26">
        <f>IFERROR(AG297/U297,"")</f>
        <v/>
      </c>
      <c r="AI297" s="23" t="n"/>
      <c r="AJ297" s="23" t="n"/>
      <c r="AK297" s="23" t="n"/>
      <c r="AL297" s="23" t="n"/>
    </row>
    <row r="298">
      <c r="A298" s="20">
        <f>IF(B298="","","TR-"&amp;TEXT(ROW()-2,"0000"))</f>
        <v/>
      </c>
      <c r="B298" s="43" t="n"/>
      <c r="C298" s="44" t="n"/>
      <c r="D298" s="44" t="n"/>
      <c r="E298" s="29" t="n"/>
      <c r="F298" s="29" t="n"/>
      <c r="G298" s="29" t="n"/>
      <c r="H298" s="29" t="n"/>
      <c r="I298" s="29" t="n"/>
      <c r="J298" s="29" t="n"/>
      <c r="K298" s="29" t="n"/>
      <c r="L298" s="45" t="n"/>
      <c r="M298" s="45" t="n"/>
      <c r="N298" s="45" t="n"/>
      <c r="O298" s="45" t="n"/>
      <c r="P298" s="45" t="n"/>
      <c r="Q298" s="45" t="n"/>
      <c r="R298" s="29" t="n"/>
      <c r="S298" s="29" t="n"/>
      <c r="T298" s="42">
        <f>IF(OR(L298="",M298=""),"",IFERROR(Settings!$B$3*Settings!$B$5,0))</f>
        <v/>
      </c>
      <c r="U298" s="42">
        <f>IF(OR(L298="",M298="",R298=""),"",ABS(L298-M298)*R298*IF(S298="",1,S298))</f>
        <v/>
      </c>
      <c r="V298" s="26">
        <f>IFERROR(ABS(N298-L298)/ABS(L298-M298),"")</f>
        <v/>
      </c>
      <c r="W298" s="29" t="n"/>
      <c r="X298" s="29" t="n"/>
      <c r="Y298" s="29" t="n"/>
      <c r="Z298" s="29" t="n"/>
      <c r="AA298" s="29" t="n"/>
      <c r="AB298" s="29" t="n"/>
      <c r="AC298" s="29" t="n"/>
      <c r="AD298" s="42">
        <f>IF(OR(L298="",Q298="",R298=""),"",IF(H298="Long",(Q298-L298)*R298*IF(S298="",1,S298),(L298-Q298)*R298*IF(S298="",1,S298)))</f>
        <v/>
      </c>
      <c r="AE298" s="45" t="n"/>
      <c r="AF298" s="45" t="n"/>
      <c r="AG298" s="42">
        <f>IF(AD298="","",AD298-IF(AE298="",0,AE298)-IF(AF298="",0,AF298))</f>
        <v/>
      </c>
      <c r="AH298" s="26">
        <f>IFERROR(AG298/U298,"")</f>
        <v/>
      </c>
      <c r="AI298" s="29" t="n"/>
      <c r="AJ298" s="29" t="n"/>
      <c r="AK298" s="29" t="n"/>
      <c r="AL298" s="29" t="n"/>
    </row>
    <row r="299">
      <c r="A299" s="20">
        <f>IF(B299="","","TR-"&amp;TEXT(ROW()-2,"0000"))</f>
        <v/>
      </c>
      <c r="B299" s="39" t="n"/>
      <c r="C299" s="40" t="n"/>
      <c r="D299" s="40" t="n"/>
      <c r="E299" s="23" t="n"/>
      <c r="F299" s="23" t="n"/>
      <c r="G299" s="23" t="n"/>
      <c r="H299" s="23" t="n"/>
      <c r="I299" s="23" t="n"/>
      <c r="J299" s="23" t="n"/>
      <c r="K299" s="23" t="n"/>
      <c r="L299" s="41" t="n"/>
      <c r="M299" s="41" t="n"/>
      <c r="N299" s="41" t="n"/>
      <c r="O299" s="41" t="n"/>
      <c r="P299" s="41" t="n"/>
      <c r="Q299" s="41" t="n"/>
      <c r="R299" s="23" t="n"/>
      <c r="S299" s="23" t="n"/>
      <c r="T299" s="42">
        <f>IF(OR(L299="",M299=""),"",IFERROR(Settings!$B$3*Settings!$B$5,0))</f>
        <v/>
      </c>
      <c r="U299" s="42">
        <f>IF(OR(L299="",M299="",R299=""),"",ABS(L299-M299)*R299*IF(S299="",1,S299))</f>
        <v/>
      </c>
      <c r="V299" s="26">
        <f>IFERROR(ABS(N299-L299)/ABS(L299-M299),"")</f>
        <v/>
      </c>
      <c r="W299" s="23" t="n"/>
      <c r="X299" s="23" t="n"/>
      <c r="Y299" s="23" t="n"/>
      <c r="Z299" s="23" t="n"/>
      <c r="AA299" s="23" t="n"/>
      <c r="AB299" s="23" t="n"/>
      <c r="AC299" s="23" t="n"/>
      <c r="AD299" s="42">
        <f>IF(OR(L299="",Q299="",R299=""),"",IF(H299="Long",(Q299-L299)*R299*IF(S299="",1,S299),(L299-Q299)*R299*IF(S299="",1,S299)))</f>
        <v/>
      </c>
      <c r="AE299" s="41" t="n"/>
      <c r="AF299" s="41" t="n"/>
      <c r="AG299" s="42">
        <f>IF(AD299="","",AD299-IF(AE299="",0,AE299)-IF(AF299="",0,AF299))</f>
        <v/>
      </c>
      <c r="AH299" s="26">
        <f>IFERROR(AG299/U299,"")</f>
        <v/>
      </c>
      <c r="AI299" s="23" t="n"/>
      <c r="AJ299" s="23" t="n"/>
      <c r="AK299" s="23" t="n"/>
      <c r="AL299" s="23" t="n"/>
    </row>
    <row r="300">
      <c r="A300" s="20">
        <f>IF(B300="","","TR-"&amp;TEXT(ROW()-2,"0000"))</f>
        <v/>
      </c>
      <c r="B300" s="43" t="n"/>
      <c r="C300" s="44" t="n"/>
      <c r="D300" s="44" t="n"/>
      <c r="E300" s="29" t="n"/>
      <c r="F300" s="29" t="n"/>
      <c r="G300" s="29" t="n"/>
      <c r="H300" s="29" t="n"/>
      <c r="I300" s="29" t="n"/>
      <c r="J300" s="29" t="n"/>
      <c r="K300" s="29" t="n"/>
      <c r="L300" s="45" t="n"/>
      <c r="M300" s="45" t="n"/>
      <c r="N300" s="45" t="n"/>
      <c r="O300" s="45" t="n"/>
      <c r="P300" s="45" t="n"/>
      <c r="Q300" s="45" t="n"/>
      <c r="R300" s="29" t="n"/>
      <c r="S300" s="29" t="n"/>
      <c r="T300" s="42">
        <f>IF(OR(L300="",M300=""),"",IFERROR(Settings!$B$3*Settings!$B$5,0))</f>
        <v/>
      </c>
      <c r="U300" s="42">
        <f>IF(OR(L300="",M300="",R300=""),"",ABS(L300-M300)*R300*IF(S300="",1,S300))</f>
        <v/>
      </c>
      <c r="V300" s="26">
        <f>IFERROR(ABS(N300-L300)/ABS(L300-M300),"")</f>
        <v/>
      </c>
      <c r="W300" s="29" t="n"/>
      <c r="X300" s="29" t="n"/>
      <c r="Y300" s="29" t="n"/>
      <c r="Z300" s="29" t="n"/>
      <c r="AA300" s="29" t="n"/>
      <c r="AB300" s="29" t="n"/>
      <c r="AC300" s="29" t="n"/>
      <c r="AD300" s="42">
        <f>IF(OR(L300="",Q300="",R300=""),"",IF(H300="Long",(Q300-L300)*R300*IF(S300="",1,S300),(L300-Q300)*R300*IF(S300="",1,S300)))</f>
        <v/>
      </c>
      <c r="AE300" s="45" t="n"/>
      <c r="AF300" s="45" t="n"/>
      <c r="AG300" s="42">
        <f>IF(AD300="","",AD300-IF(AE300="",0,AE300)-IF(AF300="",0,AF300))</f>
        <v/>
      </c>
      <c r="AH300" s="26">
        <f>IFERROR(AG300/U300,"")</f>
        <v/>
      </c>
      <c r="AI300" s="29" t="n"/>
      <c r="AJ300" s="29" t="n"/>
      <c r="AK300" s="29" t="n"/>
      <c r="AL300" s="29" t="n"/>
    </row>
    <row r="301">
      <c r="A301" s="20">
        <f>IF(B301="","","TR-"&amp;TEXT(ROW()-2,"0000"))</f>
        <v/>
      </c>
      <c r="B301" s="39" t="n"/>
      <c r="C301" s="40" t="n"/>
      <c r="D301" s="40" t="n"/>
      <c r="E301" s="23" t="n"/>
      <c r="F301" s="23" t="n"/>
      <c r="G301" s="23" t="n"/>
      <c r="H301" s="23" t="n"/>
      <c r="I301" s="23" t="n"/>
      <c r="J301" s="23" t="n"/>
      <c r="K301" s="23" t="n"/>
      <c r="L301" s="41" t="n"/>
      <c r="M301" s="41" t="n"/>
      <c r="N301" s="41" t="n"/>
      <c r="O301" s="41" t="n"/>
      <c r="P301" s="41" t="n"/>
      <c r="Q301" s="41" t="n"/>
      <c r="R301" s="23" t="n"/>
      <c r="S301" s="23" t="n"/>
      <c r="T301" s="42">
        <f>IF(OR(L301="",M301=""),"",IFERROR(Settings!$B$3*Settings!$B$5,0))</f>
        <v/>
      </c>
      <c r="U301" s="42">
        <f>IF(OR(L301="",M301="",R301=""),"",ABS(L301-M301)*R301*IF(S301="",1,S301))</f>
        <v/>
      </c>
      <c r="V301" s="26">
        <f>IFERROR(ABS(N301-L301)/ABS(L301-M301),"")</f>
        <v/>
      </c>
      <c r="W301" s="23" t="n"/>
      <c r="X301" s="23" t="n"/>
      <c r="Y301" s="23" t="n"/>
      <c r="Z301" s="23" t="n"/>
      <c r="AA301" s="23" t="n"/>
      <c r="AB301" s="23" t="n"/>
      <c r="AC301" s="23" t="n"/>
      <c r="AD301" s="42">
        <f>IF(OR(L301="",Q301="",R301=""),"",IF(H301="Long",(Q301-L301)*R301*IF(S301="",1,S301),(L301-Q301)*R301*IF(S301="",1,S301)))</f>
        <v/>
      </c>
      <c r="AE301" s="41" t="n"/>
      <c r="AF301" s="41" t="n"/>
      <c r="AG301" s="42">
        <f>IF(AD301="","",AD301-IF(AE301="",0,AE301)-IF(AF301="",0,AF301))</f>
        <v/>
      </c>
      <c r="AH301" s="26">
        <f>IFERROR(AG301/U301,"")</f>
        <v/>
      </c>
      <c r="AI301" s="23" t="n"/>
      <c r="AJ301" s="23" t="n"/>
      <c r="AK301" s="23" t="n"/>
      <c r="AL301" s="23" t="n"/>
    </row>
    <row r="302">
      <c r="A302" s="20">
        <f>IF(B302="","","TR-"&amp;TEXT(ROW()-2,"0000"))</f>
        <v/>
      </c>
      <c r="B302" s="43" t="n"/>
      <c r="C302" s="44" t="n"/>
      <c r="D302" s="44" t="n"/>
      <c r="E302" s="29" t="n"/>
      <c r="F302" s="29" t="n"/>
      <c r="G302" s="29" t="n"/>
      <c r="H302" s="29" t="n"/>
      <c r="I302" s="29" t="n"/>
      <c r="J302" s="29" t="n"/>
      <c r="K302" s="29" t="n"/>
      <c r="L302" s="45" t="n"/>
      <c r="M302" s="45" t="n"/>
      <c r="N302" s="45" t="n"/>
      <c r="O302" s="45" t="n"/>
      <c r="P302" s="45" t="n"/>
      <c r="Q302" s="45" t="n"/>
      <c r="R302" s="29" t="n"/>
      <c r="S302" s="29" t="n"/>
      <c r="T302" s="42">
        <f>IF(OR(L302="",M302=""),"",IFERROR(Settings!$B$3*Settings!$B$5,0))</f>
        <v/>
      </c>
      <c r="U302" s="42">
        <f>IF(OR(L302="",M302="",R302=""),"",ABS(L302-M302)*R302*IF(S302="",1,S302))</f>
        <v/>
      </c>
      <c r="V302" s="26">
        <f>IFERROR(ABS(N302-L302)/ABS(L302-M302),"")</f>
        <v/>
      </c>
      <c r="W302" s="29" t="n"/>
      <c r="X302" s="29" t="n"/>
      <c r="Y302" s="29" t="n"/>
      <c r="Z302" s="29" t="n"/>
      <c r="AA302" s="29" t="n"/>
      <c r="AB302" s="29" t="n"/>
      <c r="AC302" s="29" t="n"/>
      <c r="AD302" s="42">
        <f>IF(OR(L302="",Q302="",R302=""),"",IF(H302="Long",(Q302-L302)*R302*IF(S302="",1,S302),(L302-Q302)*R302*IF(S302="",1,S302)))</f>
        <v/>
      </c>
      <c r="AE302" s="45" t="n"/>
      <c r="AF302" s="45" t="n"/>
      <c r="AG302" s="42">
        <f>IF(AD302="","",AD302-IF(AE302="",0,AE302)-IF(AF302="",0,AF302))</f>
        <v/>
      </c>
      <c r="AH302" s="26">
        <f>IFERROR(AG302/U302,"")</f>
        <v/>
      </c>
      <c r="AI302" s="29" t="n"/>
      <c r="AJ302" s="29" t="n"/>
      <c r="AK302" s="29" t="n"/>
      <c r="AL302" s="29" t="n"/>
    </row>
    <row r="303">
      <c r="A303" s="20">
        <f>IF(B303="","","TR-"&amp;TEXT(ROW()-2,"0000"))</f>
        <v/>
      </c>
      <c r="B303" s="39" t="n"/>
      <c r="C303" s="40" t="n"/>
      <c r="D303" s="40" t="n"/>
      <c r="E303" s="23" t="n"/>
      <c r="F303" s="23" t="n"/>
      <c r="G303" s="23" t="n"/>
      <c r="H303" s="23" t="n"/>
      <c r="I303" s="23" t="n"/>
      <c r="J303" s="23" t="n"/>
      <c r="K303" s="23" t="n"/>
      <c r="L303" s="41" t="n"/>
      <c r="M303" s="41" t="n"/>
      <c r="N303" s="41" t="n"/>
      <c r="O303" s="41" t="n"/>
      <c r="P303" s="41" t="n"/>
      <c r="Q303" s="41" t="n"/>
      <c r="R303" s="23" t="n"/>
      <c r="S303" s="23" t="n"/>
      <c r="T303" s="42">
        <f>IF(OR(L303="",M303=""),"",IFERROR(Settings!$B$3*Settings!$B$5,0))</f>
        <v/>
      </c>
      <c r="U303" s="42">
        <f>IF(OR(L303="",M303="",R303=""),"",ABS(L303-M303)*R303*IF(S303="",1,S303))</f>
        <v/>
      </c>
      <c r="V303" s="26">
        <f>IFERROR(ABS(N303-L303)/ABS(L303-M303),"")</f>
        <v/>
      </c>
      <c r="W303" s="23" t="n"/>
      <c r="X303" s="23" t="n"/>
      <c r="Y303" s="23" t="n"/>
      <c r="Z303" s="23" t="n"/>
      <c r="AA303" s="23" t="n"/>
      <c r="AB303" s="23" t="n"/>
      <c r="AC303" s="23" t="n"/>
      <c r="AD303" s="42">
        <f>IF(OR(L303="",Q303="",R303=""),"",IF(H303="Long",(Q303-L303)*R303*IF(S303="",1,S303),(L303-Q303)*R303*IF(S303="",1,S303)))</f>
        <v/>
      </c>
      <c r="AE303" s="41" t="n"/>
      <c r="AF303" s="41" t="n"/>
      <c r="AG303" s="42">
        <f>IF(AD303="","",AD303-IF(AE303="",0,AE303)-IF(AF303="",0,AF303))</f>
        <v/>
      </c>
      <c r="AH303" s="26">
        <f>IFERROR(AG303/U303,"")</f>
        <v/>
      </c>
      <c r="AI303" s="23" t="n"/>
      <c r="AJ303" s="23" t="n"/>
      <c r="AK303" s="23" t="n"/>
      <c r="AL303" s="23" t="n"/>
    </row>
    <row r="304">
      <c r="A304" s="20">
        <f>IF(B304="","","TR-"&amp;TEXT(ROW()-2,"0000"))</f>
        <v/>
      </c>
      <c r="B304" s="43" t="n"/>
      <c r="C304" s="44" t="n"/>
      <c r="D304" s="44" t="n"/>
      <c r="E304" s="29" t="n"/>
      <c r="F304" s="29" t="n"/>
      <c r="G304" s="29" t="n"/>
      <c r="H304" s="29" t="n"/>
      <c r="I304" s="29" t="n"/>
      <c r="J304" s="29" t="n"/>
      <c r="K304" s="29" t="n"/>
      <c r="L304" s="45" t="n"/>
      <c r="M304" s="45" t="n"/>
      <c r="N304" s="45" t="n"/>
      <c r="O304" s="45" t="n"/>
      <c r="P304" s="45" t="n"/>
      <c r="Q304" s="45" t="n"/>
      <c r="R304" s="29" t="n"/>
      <c r="S304" s="29" t="n"/>
      <c r="T304" s="42">
        <f>IF(OR(L304="",M304=""),"",IFERROR(Settings!$B$3*Settings!$B$5,0))</f>
        <v/>
      </c>
      <c r="U304" s="42">
        <f>IF(OR(L304="",M304="",R304=""),"",ABS(L304-M304)*R304*IF(S304="",1,S304))</f>
        <v/>
      </c>
      <c r="V304" s="26">
        <f>IFERROR(ABS(N304-L304)/ABS(L304-M304),"")</f>
        <v/>
      </c>
      <c r="W304" s="29" t="n"/>
      <c r="X304" s="29" t="n"/>
      <c r="Y304" s="29" t="n"/>
      <c r="Z304" s="29" t="n"/>
      <c r="AA304" s="29" t="n"/>
      <c r="AB304" s="29" t="n"/>
      <c r="AC304" s="29" t="n"/>
      <c r="AD304" s="42">
        <f>IF(OR(L304="",Q304="",R304=""),"",IF(H304="Long",(Q304-L304)*R304*IF(S304="",1,S304),(L304-Q304)*R304*IF(S304="",1,S304)))</f>
        <v/>
      </c>
      <c r="AE304" s="45" t="n"/>
      <c r="AF304" s="45" t="n"/>
      <c r="AG304" s="42">
        <f>IF(AD304="","",AD304-IF(AE304="",0,AE304)-IF(AF304="",0,AF304))</f>
        <v/>
      </c>
      <c r="AH304" s="26">
        <f>IFERROR(AG304/U304,"")</f>
        <v/>
      </c>
      <c r="AI304" s="29" t="n"/>
      <c r="AJ304" s="29" t="n"/>
      <c r="AK304" s="29" t="n"/>
      <c r="AL304" s="29" t="n"/>
    </row>
    <row r="305">
      <c r="A305" s="20">
        <f>IF(B305="","","TR-"&amp;TEXT(ROW()-2,"0000"))</f>
        <v/>
      </c>
      <c r="B305" s="39" t="n"/>
      <c r="C305" s="40" t="n"/>
      <c r="D305" s="40" t="n"/>
      <c r="E305" s="23" t="n"/>
      <c r="F305" s="23" t="n"/>
      <c r="G305" s="23" t="n"/>
      <c r="H305" s="23" t="n"/>
      <c r="I305" s="23" t="n"/>
      <c r="J305" s="23" t="n"/>
      <c r="K305" s="23" t="n"/>
      <c r="L305" s="41" t="n"/>
      <c r="M305" s="41" t="n"/>
      <c r="N305" s="41" t="n"/>
      <c r="O305" s="41" t="n"/>
      <c r="P305" s="41" t="n"/>
      <c r="Q305" s="41" t="n"/>
      <c r="R305" s="23" t="n"/>
      <c r="S305" s="23" t="n"/>
      <c r="T305" s="42">
        <f>IF(OR(L305="",M305=""),"",IFERROR(Settings!$B$3*Settings!$B$5,0))</f>
        <v/>
      </c>
      <c r="U305" s="42">
        <f>IF(OR(L305="",M305="",R305=""),"",ABS(L305-M305)*R305*IF(S305="",1,S305))</f>
        <v/>
      </c>
      <c r="V305" s="26">
        <f>IFERROR(ABS(N305-L305)/ABS(L305-M305),"")</f>
        <v/>
      </c>
      <c r="W305" s="23" t="n"/>
      <c r="X305" s="23" t="n"/>
      <c r="Y305" s="23" t="n"/>
      <c r="Z305" s="23" t="n"/>
      <c r="AA305" s="23" t="n"/>
      <c r="AB305" s="23" t="n"/>
      <c r="AC305" s="23" t="n"/>
      <c r="AD305" s="42">
        <f>IF(OR(L305="",Q305="",R305=""),"",IF(H305="Long",(Q305-L305)*R305*IF(S305="",1,S305),(L305-Q305)*R305*IF(S305="",1,S305)))</f>
        <v/>
      </c>
      <c r="AE305" s="41" t="n"/>
      <c r="AF305" s="41" t="n"/>
      <c r="AG305" s="42">
        <f>IF(AD305="","",AD305-IF(AE305="",0,AE305)-IF(AF305="",0,AF305))</f>
        <v/>
      </c>
      <c r="AH305" s="26">
        <f>IFERROR(AG305/U305,"")</f>
        <v/>
      </c>
      <c r="AI305" s="23" t="n"/>
      <c r="AJ305" s="23" t="n"/>
      <c r="AK305" s="23" t="n"/>
      <c r="AL305" s="23" t="n"/>
    </row>
    <row r="306">
      <c r="A306" s="20">
        <f>IF(B306="","","TR-"&amp;TEXT(ROW()-2,"0000"))</f>
        <v/>
      </c>
      <c r="B306" s="43" t="n"/>
      <c r="C306" s="44" t="n"/>
      <c r="D306" s="44" t="n"/>
      <c r="E306" s="29" t="n"/>
      <c r="F306" s="29" t="n"/>
      <c r="G306" s="29" t="n"/>
      <c r="H306" s="29" t="n"/>
      <c r="I306" s="29" t="n"/>
      <c r="J306" s="29" t="n"/>
      <c r="K306" s="29" t="n"/>
      <c r="L306" s="45" t="n"/>
      <c r="M306" s="45" t="n"/>
      <c r="N306" s="45" t="n"/>
      <c r="O306" s="45" t="n"/>
      <c r="P306" s="45" t="n"/>
      <c r="Q306" s="45" t="n"/>
      <c r="R306" s="29" t="n"/>
      <c r="S306" s="29" t="n"/>
      <c r="T306" s="42">
        <f>IF(OR(L306="",M306=""),"",IFERROR(Settings!$B$3*Settings!$B$5,0))</f>
        <v/>
      </c>
      <c r="U306" s="42">
        <f>IF(OR(L306="",M306="",R306=""),"",ABS(L306-M306)*R306*IF(S306="",1,S306))</f>
        <v/>
      </c>
      <c r="V306" s="26">
        <f>IFERROR(ABS(N306-L306)/ABS(L306-M306),"")</f>
        <v/>
      </c>
      <c r="W306" s="29" t="n"/>
      <c r="X306" s="29" t="n"/>
      <c r="Y306" s="29" t="n"/>
      <c r="Z306" s="29" t="n"/>
      <c r="AA306" s="29" t="n"/>
      <c r="AB306" s="29" t="n"/>
      <c r="AC306" s="29" t="n"/>
      <c r="AD306" s="42">
        <f>IF(OR(L306="",Q306="",R306=""),"",IF(H306="Long",(Q306-L306)*R306*IF(S306="",1,S306),(L306-Q306)*R306*IF(S306="",1,S306)))</f>
        <v/>
      </c>
      <c r="AE306" s="45" t="n"/>
      <c r="AF306" s="45" t="n"/>
      <c r="AG306" s="42">
        <f>IF(AD306="","",AD306-IF(AE306="",0,AE306)-IF(AF306="",0,AF306))</f>
        <v/>
      </c>
      <c r="AH306" s="26">
        <f>IFERROR(AG306/U306,"")</f>
        <v/>
      </c>
      <c r="AI306" s="29" t="n"/>
      <c r="AJ306" s="29" t="n"/>
      <c r="AK306" s="29" t="n"/>
      <c r="AL306" s="29" t="n"/>
    </row>
    <row r="307">
      <c r="A307" s="20">
        <f>IF(B307="","","TR-"&amp;TEXT(ROW()-2,"0000"))</f>
        <v/>
      </c>
      <c r="B307" s="39" t="n"/>
      <c r="C307" s="40" t="n"/>
      <c r="D307" s="40" t="n"/>
      <c r="E307" s="23" t="n"/>
      <c r="F307" s="23" t="n"/>
      <c r="G307" s="23" t="n"/>
      <c r="H307" s="23" t="n"/>
      <c r="I307" s="23" t="n"/>
      <c r="J307" s="23" t="n"/>
      <c r="K307" s="23" t="n"/>
      <c r="L307" s="41" t="n"/>
      <c r="M307" s="41" t="n"/>
      <c r="N307" s="41" t="n"/>
      <c r="O307" s="41" t="n"/>
      <c r="P307" s="41" t="n"/>
      <c r="Q307" s="41" t="n"/>
      <c r="R307" s="23" t="n"/>
      <c r="S307" s="23" t="n"/>
      <c r="T307" s="42">
        <f>IF(OR(L307="",M307=""),"",IFERROR(Settings!$B$3*Settings!$B$5,0))</f>
        <v/>
      </c>
      <c r="U307" s="42">
        <f>IF(OR(L307="",M307="",R307=""),"",ABS(L307-M307)*R307*IF(S307="",1,S307))</f>
        <v/>
      </c>
      <c r="V307" s="26">
        <f>IFERROR(ABS(N307-L307)/ABS(L307-M307),"")</f>
        <v/>
      </c>
      <c r="W307" s="23" t="n"/>
      <c r="X307" s="23" t="n"/>
      <c r="Y307" s="23" t="n"/>
      <c r="Z307" s="23" t="n"/>
      <c r="AA307" s="23" t="n"/>
      <c r="AB307" s="23" t="n"/>
      <c r="AC307" s="23" t="n"/>
      <c r="AD307" s="42">
        <f>IF(OR(L307="",Q307="",R307=""),"",IF(H307="Long",(Q307-L307)*R307*IF(S307="",1,S307),(L307-Q307)*R307*IF(S307="",1,S307)))</f>
        <v/>
      </c>
      <c r="AE307" s="41" t="n"/>
      <c r="AF307" s="41" t="n"/>
      <c r="AG307" s="42">
        <f>IF(AD307="","",AD307-IF(AE307="",0,AE307)-IF(AF307="",0,AF307))</f>
        <v/>
      </c>
      <c r="AH307" s="26">
        <f>IFERROR(AG307/U307,"")</f>
        <v/>
      </c>
      <c r="AI307" s="23" t="n"/>
      <c r="AJ307" s="23" t="n"/>
      <c r="AK307" s="23" t="n"/>
      <c r="AL307" s="23" t="n"/>
    </row>
    <row r="308">
      <c r="A308" s="20">
        <f>IF(B308="","","TR-"&amp;TEXT(ROW()-2,"0000"))</f>
        <v/>
      </c>
      <c r="B308" s="43" t="n"/>
      <c r="C308" s="44" t="n"/>
      <c r="D308" s="44" t="n"/>
      <c r="E308" s="29" t="n"/>
      <c r="F308" s="29" t="n"/>
      <c r="G308" s="29" t="n"/>
      <c r="H308" s="29" t="n"/>
      <c r="I308" s="29" t="n"/>
      <c r="J308" s="29" t="n"/>
      <c r="K308" s="29" t="n"/>
      <c r="L308" s="45" t="n"/>
      <c r="M308" s="45" t="n"/>
      <c r="N308" s="45" t="n"/>
      <c r="O308" s="45" t="n"/>
      <c r="P308" s="45" t="n"/>
      <c r="Q308" s="45" t="n"/>
      <c r="R308" s="29" t="n"/>
      <c r="S308" s="29" t="n"/>
      <c r="T308" s="42">
        <f>IF(OR(L308="",M308=""),"",IFERROR(Settings!$B$3*Settings!$B$5,0))</f>
        <v/>
      </c>
      <c r="U308" s="42">
        <f>IF(OR(L308="",M308="",R308=""),"",ABS(L308-M308)*R308*IF(S308="",1,S308))</f>
        <v/>
      </c>
      <c r="V308" s="26">
        <f>IFERROR(ABS(N308-L308)/ABS(L308-M308),"")</f>
        <v/>
      </c>
      <c r="W308" s="29" t="n"/>
      <c r="X308" s="29" t="n"/>
      <c r="Y308" s="29" t="n"/>
      <c r="Z308" s="29" t="n"/>
      <c r="AA308" s="29" t="n"/>
      <c r="AB308" s="29" t="n"/>
      <c r="AC308" s="29" t="n"/>
      <c r="AD308" s="42">
        <f>IF(OR(L308="",Q308="",R308=""),"",IF(H308="Long",(Q308-L308)*R308*IF(S308="",1,S308),(L308-Q308)*R308*IF(S308="",1,S308)))</f>
        <v/>
      </c>
      <c r="AE308" s="45" t="n"/>
      <c r="AF308" s="45" t="n"/>
      <c r="AG308" s="42">
        <f>IF(AD308="","",AD308-IF(AE308="",0,AE308)-IF(AF308="",0,AF308))</f>
        <v/>
      </c>
      <c r="AH308" s="26">
        <f>IFERROR(AG308/U308,"")</f>
        <v/>
      </c>
      <c r="AI308" s="29" t="n"/>
      <c r="AJ308" s="29" t="n"/>
      <c r="AK308" s="29" t="n"/>
      <c r="AL308" s="29" t="n"/>
    </row>
    <row r="309">
      <c r="A309" s="20">
        <f>IF(B309="","","TR-"&amp;TEXT(ROW()-2,"0000"))</f>
        <v/>
      </c>
      <c r="B309" s="39" t="n"/>
      <c r="C309" s="40" t="n"/>
      <c r="D309" s="40" t="n"/>
      <c r="E309" s="23" t="n"/>
      <c r="F309" s="23" t="n"/>
      <c r="G309" s="23" t="n"/>
      <c r="H309" s="23" t="n"/>
      <c r="I309" s="23" t="n"/>
      <c r="J309" s="23" t="n"/>
      <c r="K309" s="23" t="n"/>
      <c r="L309" s="41" t="n"/>
      <c r="M309" s="41" t="n"/>
      <c r="N309" s="41" t="n"/>
      <c r="O309" s="41" t="n"/>
      <c r="P309" s="41" t="n"/>
      <c r="Q309" s="41" t="n"/>
      <c r="R309" s="23" t="n"/>
      <c r="S309" s="23" t="n"/>
      <c r="T309" s="42">
        <f>IF(OR(L309="",M309=""),"",IFERROR(Settings!$B$3*Settings!$B$5,0))</f>
        <v/>
      </c>
      <c r="U309" s="42">
        <f>IF(OR(L309="",M309="",R309=""),"",ABS(L309-M309)*R309*IF(S309="",1,S309))</f>
        <v/>
      </c>
      <c r="V309" s="26">
        <f>IFERROR(ABS(N309-L309)/ABS(L309-M309),"")</f>
        <v/>
      </c>
      <c r="W309" s="23" t="n"/>
      <c r="X309" s="23" t="n"/>
      <c r="Y309" s="23" t="n"/>
      <c r="Z309" s="23" t="n"/>
      <c r="AA309" s="23" t="n"/>
      <c r="AB309" s="23" t="n"/>
      <c r="AC309" s="23" t="n"/>
      <c r="AD309" s="42">
        <f>IF(OR(L309="",Q309="",R309=""),"",IF(H309="Long",(Q309-L309)*R309*IF(S309="",1,S309),(L309-Q309)*R309*IF(S309="",1,S309)))</f>
        <v/>
      </c>
      <c r="AE309" s="41" t="n"/>
      <c r="AF309" s="41" t="n"/>
      <c r="AG309" s="42">
        <f>IF(AD309="","",AD309-IF(AE309="",0,AE309)-IF(AF309="",0,AF309))</f>
        <v/>
      </c>
      <c r="AH309" s="26">
        <f>IFERROR(AG309/U309,"")</f>
        <v/>
      </c>
      <c r="AI309" s="23" t="n"/>
      <c r="AJ309" s="23" t="n"/>
      <c r="AK309" s="23" t="n"/>
      <c r="AL309" s="23" t="n"/>
    </row>
    <row r="310">
      <c r="A310" s="20">
        <f>IF(B310="","","TR-"&amp;TEXT(ROW()-2,"0000"))</f>
        <v/>
      </c>
      <c r="B310" s="43" t="n"/>
      <c r="C310" s="44" t="n"/>
      <c r="D310" s="44" t="n"/>
      <c r="E310" s="29" t="n"/>
      <c r="F310" s="29" t="n"/>
      <c r="G310" s="29" t="n"/>
      <c r="H310" s="29" t="n"/>
      <c r="I310" s="29" t="n"/>
      <c r="J310" s="29" t="n"/>
      <c r="K310" s="29" t="n"/>
      <c r="L310" s="45" t="n"/>
      <c r="M310" s="45" t="n"/>
      <c r="N310" s="45" t="n"/>
      <c r="O310" s="45" t="n"/>
      <c r="P310" s="45" t="n"/>
      <c r="Q310" s="45" t="n"/>
      <c r="R310" s="29" t="n"/>
      <c r="S310" s="29" t="n"/>
      <c r="T310" s="42">
        <f>IF(OR(L310="",M310=""),"",IFERROR(Settings!$B$3*Settings!$B$5,0))</f>
        <v/>
      </c>
      <c r="U310" s="42">
        <f>IF(OR(L310="",M310="",R310=""),"",ABS(L310-M310)*R310*IF(S310="",1,S310))</f>
        <v/>
      </c>
      <c r="V310" s="26">
        <f>IFERROR(ABS(N310-L310)/ABS(L310-M310),"")</f>
        <v/>
      </c>
      <c r="W310" s="29" t="n"/>
      <c r="X310" s="29" t="n"/>
      <c r="Y310" s="29" t="n"/>
      <c r="Z310" s="29" t="n"/>
      <c r="AA310" s="29" t="n"/>
      <c r="AB310" s="29" t="n"/>
      <c r="AC310" s="29" t="n"/>
      <c r="AD310" s="42">
        <f>IF(OR(L310="",Q310="",R310=""),"",IF(H310="Long",(Q310-L310)*R310*IF(S310="",1,S310),(L310-Q310)*R310*IF(S310="",1,S310)))</f>
        <v/>
      </c>
      <c r="AE310" s="45" t="n"/>
      <c r="AF310" s="45" t="n"/>
      <c r="AG310" s="42">
        <f>IF(AD310="","",AD310-IF(AE310="",0,AE310)-IF(AF310="",0,AF310))</f>
        <v/>
      </c>
      <c r="AH310" s="26">
        <f>IFERROR(AG310/U310,"")</f>
        <v/>
      </c>
      <c r="AI310" s="29" t="n"/>
      <c r="AJ310" s="29" t="n"/>
      <c r="AK310" s="29" t="n"/>
      <c r="AL310" s="29" t="n"/>
    </row>
    <row r="311">
      <c r="A311" s="20">
        <f>IF(B311="","","TR-"&amp;TEXT(ROW()-2,"0000"))</f>
        <v/>
      </c>
      <c r="B311" s="39" t="n"/>
      <c r="C311" s="40" t="n"/>
      <c r="D311" s="40" t="n"/>
      <c r="E311" s="23" t="n"/>
      <c r="F311" s="23" t="n"/>
      <c r="G311" s="23" t="n"/>
      <c r="H311" s="23" t="n"/>
      <c r="I311" s="23" t="n"/>
      <c r="J311" s="23" t="n"/>
      <c r="K311" s="23" t="n"/>
      <c r="L311" s="41" t="n"/>
      <c r="M311" s="41" t="n"/>
      <c r="N311" s="41" t="n"/>
      <c r="O311" s="41" t="n"/>
      <c r="P311" s="41" t="n"/>
      <c r="Q311" s="41" t="n"/>
      <c r="R311" s="23" t="n"/>
      <c r="S311" s="23" t="n"/>
      <c r="T311" s="42">
        <f>IF(OR(L311="",M311=""),"",IFERROR(Settings!$B$3*Settings!$B$5,0))</f>
        <v/>
      </c>
      <c r="U311" s="42">
        <f>IF(OR(L311="",M311="",R311=""),"",ABS(L311-M311)*R311*IF(S311="",1,S311))</f>
        <v/>
      </c>
      <c r="V311" s="26">
        <f>IFERROR(ABS(N311-L311)/ABS(L311-M311),"")</f>
        <v/>
      </c>
      <c r="W311" s="23" t="n"/>
      <c r="X311" s="23" t="n"/>
      <c r="Y311" s="23" t="n"/>
      <c r="Z311" s="23" t="n"/>
      <c r="AA311" s="23" t="n"/>
      <c r="AB311" s="23" t="n"/>
      <c r="AC311" s="23" t="n"/>
      <c r="AD311" s="42">
        <f>IF(OR(L311="",Q311="",R311=""),"",IF(H311="Long",(Q311-L311)*R311*IF(S311="",1,S311),(L311-Q311)*R311*IF(S311="",1,S311)))</f>
        <v/>
      </c>
      <c r="AE311" s="41" t="n"/>
      <c r="AF311" s="41" t="n"/>
      <c r="AG311" s="42">
        <f>IF(AD311="","",AD311-IF(AE311="",0,AE311)-IF(AF311="",0,AF311))</f>
        <v/>
      </c>
      <c r="AH311" s="26">
        <f>IFERROR(AG311/U311,"")</f>
        <v/>
      </c>
      <c r="AI311" s="23" t="n"/>
      <c r="AJ311" s="23" t="n"/>
      <c r="AK311" s="23" t="n"/>
      <c r="AL311" s="23" t="n"/>
    </row>
    <row r="312">
      <c r="A312" s="20">
        <f>IF(B312="","","TR-"&amp;TEXT(ROW()-2,"0000"))</f>
        <v/>
      </c>
      <c r="B312" s="43" t="n"/>
      <c r="C312" s="44" t="n"/>
      <c r="D312" s="44" t="n"/>
      <c r="E312" s="29" t="n"/>
      <c r="F312" s="29" t="n"/>
      <c r="G312" s="29" t="n"/>
      <c r="H312" s="29" t="n"/>
      <c r="I312" s="29" t="n"/>
      <c r="J312" s="29" t="n"/>
      <c r="K312" s="29" t="n"/>
      <c r="L312" s="45" t="n"/>
      <c r="M312" s="45" t="n"/>
      <c r="N312" s="45" t="n"/>
      <c r="O312" s="45" t="n"/>
      <c r="P312" s="45" t="n"/>
      <c r="Q312" s="45" t="n"/>
      <c r="R312" s="29" t="n"/>
      <c r="S312" s="29" t="n"/>
      <c r="T312" s="42">
        <f>IF(OR(L312="",M312=""),"",IFERROR(Settings!$B$3*Settings!$B$5,0))</f>
        <v/>
      </c>
      <c r="U312" s="42">
        <f>IF(OR(L312="",M312="",R312=""),"",ABS(L312-M312)*R312*IF(S312="",1,S312))</f>
        <v/>
      </c>
      <c r="V312" s="26">
        <f>IFERROR(ABS(N312-L312)/ABS(L312-M312),"")</f>
        <v/>
      </c>
      <c r="W312" s="29" t="n"/>
      <c r="X312" s="29" t="n"/>
      <c r="Y312" s="29" t="n"/>
      <c r="Z312" s="29" t="n"/>
      <c r="AA312" s="29" t="n"/>
      <c r="AB312" s="29" t="n"/>
      <c r="AC312" s="29" t="n"/>
      <c r="AD312" s="42">
        <f>IF(OR(L312="",Q312="",R312=""),"",IF(H312="Long",(Q312-L312)*R312*IF(S312="",1,S312),(L312-Q312)*R312*IF(S312="",1,S312)))</f>
        <v/>
      </c>
      <c r="AE312" s="45" t="n"/>
      <c r="AF312" s="45" t="n"/>
      <c r="AG312" s="42">
        <f>IF(AD312="","",AD312-IF(AE312="",0,AE312)-IF(AF312="",0,AF312))</f>
        <v/>
      </c>
      <c r="AH312" s="26">
        <f>IFERROR(AG312/U312,"")</f>
        <v/>
      </c>
      <c r="AI312" s="29" t="n"/>
      <c r="AJ312" s="29" t="n"/>
      <c r="AK312" s="29" t="n"/>
      <c r="AL312" s="29" t="n"/>
    </row>
    <row r="313">
      <c r="A313" s="20">
        <f>IF(B313="","","TR-"&amp;TEXT(ROW()-2,"0000"))</f>
        <v/>
      </c>
      <c r="B313" s="39" t="n"/>
      <c r="C313" s="40" t="n"/>
      <c r="D313" s="40" t="n"/>
      <c r="E313" s="23" t="n"/>
      <c r="F313" s="23" t="n"/>
      <c r="G313" s="23" t="n"/>
      <c r="H313" s="23" t="n"/>
      <c r="I313" s="23" t="n"/>
      <c r="J313" s="23" t="n"/>
      <c r="K313" s="23" t="n"/>
      <c r="L313" s="41" t="n"/>
      <c r="M313" s="41" t="n"/>
      <c r="N313" s="41" t="n"/>
      <c r="O313" s="41" t="n"/>
      <c r="P313" s="41" t="n"/>
      <c r="Q313" s="41" t="n"/>
      <c r="R313" s="23" t="n"/>
      <c r="S313" s="23" t="n"/>
      <c r="T313" s="42">
        <f>IF(OR(L313="",M313=""),"",IFERROR(Settings!$B$3*Settings!$B$5,0))</f>
        <v/>
      </c>
      <c r="U313" s="42">
        <f>IF(OR(L313="",M313="",R313=""),"",ABS(L313-M313)*R313*IF(S313="",1,S313))</f>
        <v/>
      </c>
      <c r="V313" s="26">
        <f>IFERROR(ABS(N313-L313)/ABS(L313-M313),"")</f>
        <v/>
      </c>
      <c r="W313" s="23" t="n"/>
      <c r="X313" s="23" t="n"/>
      <c r="Y313" s="23" t="n"/>
      <c r="Z313" s="23" t="n"/>
      <c r="AA313" s="23" t="n"/>
      <c r="AB313" s="23" t="n"/>
      <c r="AC313" s="23" t="n"/>
      <c r="AD313" s="42">
        <f>IF(OR(L313="",Q313="",R313=""),"",IF(H313="Long",(Q313-L313)*R313*IF(S313="",1,S313),(L313-Q313)*R313*IF(S313="",1,S313)))</f>
        <v/>
      </c>
      <c r="AE313" s="41" t="n"/>
      <c r="AF313" s="41" t="n"/>
      <c r="AG313" s="42">
        <f>IF(AD313="","",AD313-IF(AE313="",0,AE313)-IF(AF313="",0,AF313))</f>
        <v/>
      </c>
      <c r="AH313" s="26">
        <f>IFERROR(AG313/U313,"")</f>
        <v/>
      </c>
      <c r="AI313" s="23" t="n"/>
      <c r="AJ313" s="23" t="n"/>
      <c r="AK313" s="23" t="n"/>
      <c r="AL313" s="23" t="n"/>
    </row>
    <row r="314">
      <c r="A314" s="20">
        <f>IF(B314="","","TR-"&amp;TEXT(ROW()-2,"0000"))</f>
        <v/>
      </c>
      <c r="B314" s="43" t="n"/>
      <c r="C314" s="44" t="n"/>
      <c r="D314" s="44" t="n"/>
      <c r="E314" s="29" t="n"/>
      <c r="F314" s="29" t="n"/>
      <c r="G314" s="29" t="n"/>
      <c r="H314" s="29" t="n"/>
      <c r="I314" s="29" t="n"/>
      <c r="J314" s="29" t="n"/>
      <c r="K314" s="29" t="n"/>
      <c r="L314" s="45" t="n"/>
      <c r="M314" s="45" t="n"/>
      <c r="N314" s="45" t="n"/>
      <c r="O314" s="45" t="n"/>
      <c r="P314" s="45" t="n"/>
      <c r="Q314" s="45" t="n"/>
      <c r="R314" s="29" t="n"/>
      <c r="S314" s="29" t="n"/>
      <c r="T314" s="42">
        <f>IF(OR(L314="",M314=""),"",IFERROR(Settings!$B$3*Settings!$B$5,0))</f>
        <v/>
      </c>
      <c r="U314" s="42">
        <f>IF(OR(L314="",M314="",R314=""),"",ABS(L314-M314)*R314*IF(S314="",1,S314))</f>
        <v/>
      </c>
      <c r="V314" s="26">
        <f>IFERROR(ABS(N314-L314)/ABS(L314-M314),"")</f>
        <v/>
      </c>
      <c r="W314" s="29" t="n"/>
      <c r="X314" s="29" t="n"/>
      <c r="Y314" s="29" t="n"/>
      <c r="Z314" s="29" t="n"/>
      <c r="AA314" s="29" t="n"/>
      <c r="AB314" s="29" t="n"/>
      <c r="AC314" s="29" t="n"/>
      <c r="AD314" s="42">
        <f>IF(OR(L314="",Q314="",R314=""),"",IF(H314="Long",(Q314-L314)*R314*IF(S314="",1,S314),(L314-Q314)*R314*IF(S314="",1,S314)))</f>
        <v/>
      </c>
      <c r="AE314" s="45" t="n"/>
      <c r="AF314" s="45" t="n"/>
      <c r="AG314" s="42">
        <f>IF(AD314="","",AD314-IF(AE314="",0,AE314)-IF(AF314="",0,AF314))</f>
        <v/>
      </c>
      <c r="AH314" s="26">
        <f>IFERROR(AG314/U314,"")</f>
        <v/>
      </c>
      <c r="AI314" s="29" t="n"/>
      <c r="AJ314" s="29" t="n"/>
      <c r="AK314" s="29" t="n"/>
      <c r="AL314" s="29" t="n"/>
    </row>
    <row r="315">
      <c r="A315" s="20">
        <f>IF(B315="","","TR-"&amp;TEXT(ROW()-2,"0000"))</f>
        <v/>
      </c>
      <c r="B315" s="39" t="n"/>
      <c r="C315" s="40" t="n"/>
      <c r="D315" s="40" t="n"/>
      <c r="E315" s="23" t="n"/>
      <c r="F315" s="23" t="n"/>
      <c r="G315" s="23" t="n"/>
      <c r="H315" s="23" t="n"/>
      <c r="I315" s="23" t="n"/>
      <c r="J315" s="23" t="n"/>
      <c r="K315" s="23" t="n"/>
      <c r="L315" s="41" t="n"/>
      <c r="M315" s="41" t="n"/>
      <c r="N315" s="41" t="n"/>
      <c r="O315" s="41" t="n"/>
      <c r="P315" s="41" t="n"/>
      <c r="Q315" s="41" t="n"/>
      <c r="R315" s="23" t="n"/>
      <c r="S315" s="23" t="n"/>
      <c r="T315" s="42">
        <f>IF(OR(L315="",M315=""),"",IFERROR(Settings!$B$3*Settings!$B$5,0))</f>
        <v/>
      </c>
      <c r="U315" s="42">
        <f>IF(OR(L315="",M315="",R315=""),"",ABS(L315-M315)*R315*IF(S315="",1,S315))</f>
        <v/>
      </c>
      <c r="V315" s="26">
        <f>IFERROR(ABS(N315-L315)/ABS(L315-M315),"")</f>
        <v/>
      </c>
      <c r="W315" s="23" t="n"/>
      <c r="X315" s="23" t="n"/>
      <c r="Y315" s="23" t="n"/>
      <c r="Z315" s="23" t="n"/>
      <c r="AA315" s="23" t="n"/>
      <c r="AB315" s="23" t="n"/>
      <c r="AC315" s="23" t="n"/>
      <c r="AD315" s="42">
        <f>IF(OR(L315="",Q315="",R315=""),"",IF(H315="Long",(Q315-L315)*R315*IF(S315="",1,S315),(L315-Q315)*R315*IF(S315="",1,S315)))</f>
        <v/>
      </c>
      <c r="AE315" s="41" t="n"/>
      <c r="AF315" s="41" t="n"/>
      <c r="AG315" s="42">
        <f>IF(AD315="","",AD315-IF(AE315="",0,AE315)-IF(AF315="",0,AF315))</f>
        <v/>
      </c>
      <c r="AH315" s="26">
        <f>IFERROR(AG315/U315,"")</f>
        <v/>
      </c>
      <c r="AI315" s="23" t="n"/>
      <c r="AJ315" s="23" t="n"/>
      <c r="AK315" s="23" t="n"/>
      <c r="AL315" s="23" t="n"/>
    </row>
    <row r="316">
      <c r="A316" s="20">
        <f>IF(B316="","","TR-"&amp;TEXT(ROW()-2,"0000"))</f>
        <v/>
      </c>
      <c r="B316" s="43" t="n"/>
      <c r="C316" s="44" t="n"/>
      <c r="D316" s="44" t="n"/>
      <c r="E316" s="29" t="n"/>
      <c r="F316" s="29" t="n"/>
      <c r="G316" s="29" t="n"/>
      <c r="H316" s="29" t="n"/>
      <c r="I316" s="29" t="n"/>
      <c r="J316" s="29" t="n"/>
      <c r="K316" s="29" t="n"/>
      <c r="L316" s="45" t="n"/>
      <c r="M316" s="45" t="n"/>
      <c r="N316" s="45" t="n"/>
      <c r="O316" s="45" t="n"/>
      <c r="P316" s="45" t="n"/>
      <c r="Q316" s="45" t="n"/>
      <c r="R316" s="29" t="n"/>
      <c r="S316" s="29" t="n"/>
      <c r="T316" s="42">
        <f>IF(OR(L316="",M316=""),"",IFERROR(Settings!$B$3*Settings!$B$5,0))</f>
        <v/>
      </c>
      <c r="U316" s="42">
        <f>IF(OR(L316="",M316="",R316=""),"",ABS(L316-M316)*R316*IF(S316="",1,S316))</f>
        <v/>
      </c>
      <c r="V316" s="26">
        <f>IFERROR(ABS(N316-L316)/ABS(L316-M316),"")</f>
        <v/>
      </c>
      <c r="W316" s="29" t="n"/>
      <c r="X316" s="29" t="n"/>
      <c r="Y316" s="29" t="n"/>
      <c r="Z316" s="29" t="n"/>
      <c r="AA316" s="29" t="n"/>
      <c r="AB316" s="29" t="n"/>
      <c r="AC316" s="29" t="n"/>
      <c r="AD316" s="42">
        <f>IF(OR(L316="",Q316="",R316=""),"",IF(H316="Long",(Q316-L316)*R316*IF(S316="",1,S316),(L316-Q316)*R316*IF(S316="",1,S316)))</f>
        <v/>
      </c>
      <c r="AE316" s="45" t="n"/>
      <c r="AF316" s="45" t="n"/>
      <c r="AG316" s="42">
        <f>IF(AD316="","",AD316-IF(AE316="",0,AE316)-IF(AF316="",0,AF316))</f>
        <v/>
      </c>
      <c r="AH316" s="26">
        <f>IFERROR(AG316/U316,"")</f>
        <v/>
      </c>
      <c r="AI316" s="29" t="n"/>
      <c r="AJ316" s="29" t="n"/>
      <c r="AK316" s="29" t="n"/>
      <c r="AL316" s="29" t="n"/>
    </row>
    <row r="317">
      <c r="A317" s="20">
        <f>IF(B317="","","TR-"&amp;TEXT(ROW()-2,"0000"))</f>
        <v/>
      </c>
      <c r="B317" s="39" t="n"/>
      <c r="C317" s="40" t="n"/>
      <c r="D317" s="40" t="n"/>
      <c r="E317" s="23" t="n"/>
      <c r="F317" s="23" t="n"/>
      <c r="G317" s="23" t="n"/>
      <c r="H317" s="23" t="n"/>
      <c r="I317" s="23" t="n"/>
      <c r="J317" s="23" t="n"/>
      <c r="K317" s="23" t="n"/>
      <c r="L317" s="41" t="n"/>
      <c r="M317" s="41" t="n"/>
      <c r="N317" s="41" t="n"/>
      <c r="O317" s="41" t="n"/>
      <c r="P317" s="41" t="n"/>
      <c r="Q317" s="41" t="n"/>
      <c r="R317" s="23" t="n"/>
      <c r="S317" s="23" t="n"/>
      <c r="T317" s="42">
        <f>IF(OR(L317="",M317=""),"",IFERROR(Settings!$B$3*Settings!$B$5,0))</f>
        <v/>
      </c>
      <c r="U317" s="42">
        <f>IF(OR(L317="",M317="",R317=""),"",ABS(L317-M317)*R317*IF(S317="",1,S317))</f>
        <v/>
      </c>
      <c r="V317" s="26">
        <f>IFERROR(ABS(N317-L317)/ABS(L317-M317),"")</f>
        <v/>
      </c>
      <c r="W317" s="23" t="n"/>
      <c r="X317" s="23" t="n"/>
      <c r="Y317" s="23" t="n"/>
      <c r="Z317" s="23" t="n"/>
      <c r="AA317" s="23" t="n"/>
      <c r="AB317" s="23" t="n"/>
      <c r="AC317" s="23" t="n"/>
      <c r="AD317" s="42">
        <f>IF(OR(L317="",Q317="",R317=""),"",IF(H317="Long",(Q317-L317)*R317*IF(S317="",1,S317),(L317-Q317)*R317*IF(S317="",1,S317)))</f>
        <v/>
      </c>
      <c r="AE317" s="41" t="n"/>
      <c r="AF317" s="41" t="n"/>
      <c r="AG317" s="42">
        <f>IF(AD317="","",AD317-IF(AE317="",0,AE317)-IF(AF317="",0,AF317))</f>
        <v/>
      </c>
      <c r="AH317" s="26">
        <f>IFERROR(AG317/U317,"")</f>
        <v/>
      </c>
      <c r="AI317" s="23" t="n"/>
      <c r="AJ317" s="23" t="n"/>
      <c r="AK317" s="23" t="n"/>
      <c r="AL317" s="23" t="n"/>
    </row>
    <row r="318">
      <c r="A318" s="20">
        <f>IF(B318="","","TR-"&amp;TEXT(ROW()-2,"0000"))</f>
        <v/>
      </c>
      <c r="B318" s="43" t="n"/>
      <c r="C318" s="44" t="n"/>
      <c r="D318" s="44" t="n"/>
      <c r="E318" s="29" t="n"/>
      <c r="F318" s="29" t="n"/>
      <c r="G318" s="29" t="n"/>
      <c r="H318" s="29" t="n"/>
      <c r="I318" s="29" t="n"/>
      <c r="J318" s="29" t="n"/>
      <c r="K318" s="29" t="n"/>
      <c r="L318" s="45" t="n"/>
      <c r="M318" s="45" t="n"/>
      <c r="N318" s="45" t="n"/>
      <c r="O318" s="45" t="n"/>
      <c r="P318" s="45" t="n"/>
      <c r="Q318" s="45" t="n"/>
      <c r="R318" s="29" t="n"/>
      <c r="S318" s="29" t="n"/>
      <c r="T318" s="42">
        <f>IF(OR(L318="",M318=""),"",IFERROR(Settings!$B$3*Settings!$B$5,0))</f>
        <v/>
      </c>
      <c r="U318" s="42">
        <f>IF(OR(L318="",M318="",R318=""),"",ABS(L318-M318)*R318*IF(S318="",1,S318))</f>
        <v/>
      </c>
      <c r="V318" s="26">
        <f>IFERROR(ABS(N318-L318)/ABS(L318-M318),"")</f>
        <v/>
      </c>
      <c r="W318" s="29" t="n"/>
      <c r="X318" s="29" t="n"/>
      <c r="Y318" s="29" t="n"/>
      <c r="Z318" s="29" t="n"/>
      <c r="AA318" s="29" t="n"/>
      <c r="AB318" s="29" t="n"/>
      <c r="AC318" s="29" t="n"/>
      <c r="AD318" s="42">
        <f>IF(OR(L318="",Q318="",R318=""),"",IF(H318="Long",(Q318-L318)*R318*IF(S318="",1,S318),(L318-Q318)*R318*IF(S318="",1,S318)))</f>
        <v/>
      </c>
      <c r="AE318" s="45" t="n"/>
      <c r="AF318" s="45" t="n"/>
      <c r="AG318" s="42">
        <f>IF(AD318="","",AD318-IF(AE318="",0,AE318)-IF(AF318="",0,AF318))</f>
        <v/>
      </c>
      <c r="AH318" s="26">
        <f>IFERROR(AG318/U318,"")</f>
        <v/>
      </c>
      <c r="AI318" s="29" t="n"/>
      <c r="AJ318" s="29" t="n"/>
      <c r="AK318" s="29" t="n"/>
      <c r="AL318" s="29" t="n"/>
    </row>
    <row r="319">
      <c r="A319" s="20">
        <f>IF(B319="","","TR-"&amp;TEXT(ROW()-2,"0000"))</f>
        <v/>
      </c>
      <c r="B319" s="39" t="n"/>
      <c r="C319" s="40" t="n"/>
      <c r="D319" s="40" t="n"/>
      <c r="E319" s="23" t="n"/>
      <c r="F319" s="23" t="n"/>
      <c r="G319" s="23" t="n"/>
      <c r="H319" s="23" t="n"/>
      <c r="I319" s="23" t="n"/>
      <c r="J319" s="23" t="n"/>
      <c r="K319" s="23" t="n"/>
      <c r="L319" s="41" t="n"/>
      <c r="M319" s="41" t="n"/>
      <c r="N319" s="41" t="n"/>
      <c r="O319" s="41" t="n"/>
      <c r="P319" s="41" t="n"/>
      <c r="Q319" s="41" t="n"/>
      <c r="R319" s="23" t="n"/>
      <c r="S319" s="23" t="n"/>
      <c r="T319" s="42">
        <f>IF(OR(L319="",M319=""),"",IFERROR(Settings!$B$3*Settings!$B$5,0))</f>
        <v/>
      </c>
      <c r="U319" s="42">
        <f>IF(OR(L319="",M319="",R319=""),"",ABS(L319-M319)*R319*IF(S319="",1,S319))</f>
        <v/>
      </c>
      <c r="V319" s="26">
        <f>IFERROR(ABS(N319-L319)/ABS(L319-M319),"")</f>
        <v/>
      </c>
      <c r="W319" s="23" t="n"/>
      <c r="X319" s="23" t="n"/>
      <c r="Y319" s="23" t="n"/>
      <c r="Z319" s="23" t="n"/>
      <c r="AA319" s="23" t="n"/>
      <c r="AB319" s="23" t="n"/>
      <c r="AC319" s="23" t="n"/>
      <c r="AD319" s="42">
        <f>IF(OR(L319="",Q319="",R319=""),"",IF(H319="Long",(Q319-L319)*R319*IF(S319="",1,S319),(L319-Q319)*R319*IF(S319="",1,S319)))</f>
        <v/>
      </c>
      <c r="AE319" s="41" t="n"/>
      <c r="AF319" s="41" t="n"/>
      <c r="AG319" s="42">
        <f>IF(AD319="","",AD319-IF(AE319="",0,AE319)-IF(AF319="",0,AF319))</f>
        <v/>
      </c>
      <c r="AH319" s="26">
        <f>IFERROR(AG319/U319,"")</f>
        <v/>
      </c>
      <c r="AI319" s="23" t="n"/>
      <c r="AJ319" s="23" t="n"/>
      <c r="AK319" s="23" t="n"/>
      <c r="AL319" s="23" t="n"/>
    </row>
    <row r="320">
      <c r="A320" s="20">
        <f>IF(B320="","","TR-"&amp;TEXT(ROW()-2,"0000"))</f>
        <v/>
      </c>
      <c r="B320" s="43" t="n"/>
      <c r="C320" s="44" t="n"/>
      <c r="D320" s="44" t="n"/>
      <c r="E320" s="29" t="n"/>
      <c r="F320" s="29" t="n"/>
      <c r="G320" s="29" t="n"/>
      <c r="H320" s="29" t="n"/>
      <c r="I320" s="29" t="n"/>
      <c r="J320" s="29" t="n"/>
      <c r="K320" s="29" t="n"/>
      <c r="L320" s="45" t="n"/>
      <c r="M320" s="45" t="n"/>
      <c r="N320" s="45" t="n"/>
      <c r="O320" s="45" t="n"/>
      <c r="P320" s="45" t="n"/>
      <c r="Q320" s="45" t="n"/>
      <c r="R320" s="29" t="n"/>
      <c r="S320" s="29" t="n"/>
      <c r="T320" s="42">
        <f>IF(OR(L320="",M320=""),"",IFERROR(Settings!$B$3*Settings!$B$5,0))</f>
        <v/>
      </c>
      <c r="U320" s="42">
        <f>IF(OR(L320="",M320="",R320=""),"",ABS(L320-M320)*R320*IF(S320="",1,S320))</f>
        <v/>
      </c>
      <c r="V320" s="26">
        <f>IFERROR(ABS(N320-L320)/ABS(L320-M320),"")</f>
        <v/>
      </c>
      <c r="W320" s="29" t="n"/>
      <c r="X320" s="29" t="n"/>
      <c r="Y320" s="29" t="n"/>
      <c r="Z320" s="29" t="n"/>
      <c r="AA320" s="29" t="n"/>
      <c r="AB320" s="29" t="n"/>
      <c r="AC320" s="29" t="n"/>
      <c r="AD320" s="42">
        <f>IF(OR(L320="",Q320="",R320=""),"",IF(H320="Long",(Q320-L320)*R320*IF(S320="",1,S320),(L320-Q320)*R320*IF(S320="",1,S320)))</f>
        <v/>
      </c>
      <c r="AE320" s="45" t="n"/>
      <c r="AF320" s="45" t="n"/>
      <c r="AG320" s="42">
        <f>IF(AD320="","",AD320-IF(AE320="",0,AE320)-IF(AF320="",0,AF320))</f>
        <v/>
      </c>
      <c r="AH320" s="26">
        <f>IFERROR(AG320/U320,"")</f>
        <v/>
      </c>
      <c r="AI320" s="29" t="n"/>
      <c r="AJ320" s="29" t="n"/>
      <c r="AK320" s="29" t="n"/>
      <c r="AL320" s="29" t="n"/>
    </row>
    <row r="321">
      <c r="A321" s="20">
        <f>IF(B321="","","TR-"&amp;TEXT(ROW()-2,"0000"))</f>
        <v/>
      </c>
      <c r="B321" s="39" t="n"/>
      <c r="C321" s="40" t="n"/>
      <c r="D321" s="40" t="n"/>
      <c r="E321" s="23" t="n"/>
      <c r="F321" s="23" t="n"/>
      <c r="G321" s="23" t="n"/>
      <c r="H321" s="23" t="n"/>
      <c r="I321" s="23" t="n"/>
      <c r="J321" s="23" t="n"/>
      <c r="K321" s="23" t="n"/>
      <c r="L321" s="41" t="n"/>
      <c r="M321" s="41" t="n"/>
      <c r="N321" s="41" t="n"/>
      <c r="O321" s="41" t="n"/>
      <c r="P321" s="41" t="n"/>
      <c r="Q321" s="41" t="n"/>
      <c r="R321" s="23" t="n"/>
      <c r="S321" s="23" t="n"/>
      <c r="T321" s="42">
        <f>IF(OR(L321="",M321=""),"",IFERROR(Settings!$B$3*Settings!$B$5,0))</f>
        <v/>
      </c>
      <c r="U321" s="42">
        <f>IF(OR(L321="",M321="",R321=""),"",ABS(L321-M321)*R321*IF(S321="",1,S321))</f>
        <v/>
      </c>
      <c r="V321" s="26">
        <f>IFERROR(ABS(N321-L321)/ABS(L321-M321),"")</f>
        <v/>
      </c>
      <c r="W321" s="23" t="n"/>
      <c r="X321" s="23" t="n"/>
      <c r="Y321" s="23" t="n"/>
      <c r="Z321" s="23" t="n"/>
      <c r="AA321" s="23" t="n"/>
      <c r="AB321" s="23" t="n"/>
      <c r="AC321" s="23" t="n"/>
      <c r="AD321" s="42">
        <f>IF(OR(L321="",Q321="",R321=""),"",IF(H321="Long",(Q321-L321)*R321*IF(S321="",1,S321),(L321-Q321)*R321*IF(S321="",1,S321)))</f>
        <v/>
      </c>
      <c r="AE321" s="41" t="n"/>
      <c r="AF321" s="41" t="n"/>
      <c r="AG321" s="42">
        <f>IF(AD321="","",AD321-IF(AE321="",0,AE321)-IF(AF321="",0,AF321))</f>
        <v/>
      </c>
      <c r="AH321" s="26">
        <f>IFERROR(AG321/U321,"")</f>
        <v/>
      </c>
      <c r="AI321" s="23" t="n"/>
      <c r="AJ321" s="23" t="n"/>
      <c r="AK321" s="23" t="n"/>
      <c r="AL321" s="23" t="n"/>
    </row>
    <row r="322">
      <c r="A322" s="20">
        <f>IF(B322="","","TR-"&amp;TEXT(ROW()-2,"0000"))</f>
        <v/>
      </c>
      <c r="B322" s="43" t="n"/>
      <c r="C322" s="44" t="n"/>
      <c r="D322" s="44" t="n"/>
      <c r="E322" s="29" t="n"/>
      <c r="F322" s="29" t="n"/>
      <c r="G322" s="29" t="n"/>
      <c r="H322" s="29" t="n"/>
      <c r="I322" s="29" t="n"/>
      <c r="J322" s="29" t="n"/>
      <c r="K322" s="29" t="n"/>
      <c r="L322" s="45" t="n"/>
      <c r="M322" s="45" t="n"/>
      <c r="N322" s="45" t="n"/>
      <c r="O322" s="45" t="n"/>
      <c r="P322" s="45" t="n"/>
      <c r="Q322" s="45" t="n"/>
      <c r="R322" s="29" t="n"/>
      <c r="S322" s="29" t="n"/>
      <c r="T322" s="42">
        <f>IF(OR(L322="",M322=""),"",IFERROR(Settings!$B$3*Settings!$B$5,0))</f>
        <v/>
      </c>
      <c r="U322" s="42">
        <f>IF(OR(L322="",M322="",R322=""),"",ABS(L322-M322)*R322*IF(S322="",1,S322))</f>
        <v/>
      </c>
      <c r="V322" s="26">
        <f>IFERROR(ABS(N322-L322)/ABS(L322-M322),"")</f>
        <v/>
      </c>
      <c r="W322" s="29" t="n"/>
      <c r="X322" s="29" t="n"/>
      <c r="Y322" s="29" t="n"/>
      <c r="Z322" s="29" t="n"/>
      <c r="AA322" s="29" t="n"/>
      <c r="AB322" s="29" t="n"/>
      <c r="AC322" s="29" t="n"/>
      <c r="AD322" s="42">
        <f>IF(OR(L322="",Q322="",R322=""),"",IF(H322="Long",(Q322-L322)*R322*IF(S322="",1,S322),(L322-Q322)*R322*IF(S322="",1,S322)))</f>
        <v/>
      </c>
      <c r="AE322" s="45" t="n"/>
      <c r="AF322" s="45" t="n"/>
      <c r="AG322" s="42">
        <f>IF(AD322="","",AD322-IF(AE322="",0,AE322)-IF(AF322="",0,AF322))</f>
        <v/>
      </c>
      <c r="AH322" s="26">
        <f>IFERROR(AG322/U322,"")</f>
        <v/>
      </c>
      <c r="AI322" s="29" t="n"/>
      <c r="AJ322" s="29" t="n"/>
      <c r="AK322" s="29" t="n"/>
      <c r="AL322" s="29" t="n"/>
    </row>
    <row r="323">
      <c r="A323" s="20">
        <f>IF(B323="","","TR-"&amp;TEXT(ROW()-2,"0000"))</f>
        <v/>
      </c>
      <c r="B323" s="39" t="n"/>
      <c r="C323" s="40" t="n"/>
      <c r="D323" s="40" t="n"/>
      <c r="E323" s="23" t="n"/>
      <c r="F323" s="23" t="n"/>
      <c r="G323" s="23" t="n"/>
      <c r="H323" s="23" t="n"/>
      <c r="I323" s="23" t="n"/>
      <c r="J323" s="23" t="n"/>
      <c r="K323" s="23" t="n"/>
      <c r="L323" s="41" t="n"/>
      <c r="M323" s="41" t="n"/>
      <c r="N323" s="41" t="n"/>
      <c r="O323" s="41" t="n"/>
      <c r="P323" s="41" t="n"/>
      <c r="Q323" s="41" t="n"/>
      <c r="R323" s="23" t="n"/>
      <c r="S323" s="23" t="n"/>
      <c r="T323" s="42">
        <f>IF(OR(L323="",M323=""),"",IFERROR(Settings!$B$3*Settings!$B$5,0))</f>
        <v/>
      </c>
      <c r="U323" s="42">
        <f>IF(OR(L323="",M323="",R323=""),"",ABS(L323-M323)*R323*IF(S323="",1,S323))</f>
        <v/>
      </c>
      <c r="V323" s="26">
        <f>IFERROR(ABS(N323-L323)/ABS(L323-M323),"")</f>
        <v/>
      </c>
      <c r="W323" s="23" t="n"/>
      <c r="X323" s="23" t="n"/>
      <c r="Y323" s="23" t="n"/>
      <c r="Z323" s="23" t="n"/>
      <c r="AA323" s="23" t="n"/>
      <c r="AB323" s="23" t="n"/>
      <c r="AC323" s="23" t="n"/>
      <c r="AD323" s="42">
        <f>IF(OR(L323="",Q323="",R323=""),"",IF(H323="Long",(Q323-L323)*R323*IF(S323="",1,S323),(L323-Q323)*R323*IF(S323="",1,S323)))</f>
        <v/>
      </c>
      <c r="AE323" s="41" t="n"/>
      <c r="AF323" s="41" t="n"/>
      <c r="AG323" s="42">
        <f>IF(AD323="","",AD323-IF(AE323="",0,AE323)-IF(AF323="",0,AF323))</f>
        <v/>
      </c>
      <c r="AH323" s="26">
        <f>IFERROR(AG323/U323,"")</f>
        <v/>
      </c>
      <c r="AI323" s="23" t="n"/>
      <c r="AJ323" s="23" t="n"/>
      <c r="AK323" s="23" t="n"/>
      <c r="AL323" s="23" t="n"/>
    </row>
    <row r="324">
      <c r="A324" s="20">
        <f>IF(B324="","","TR-"&amp;TEXT(ROW()-2,"0000"))</f>
        <v/>
      </c>
      <c r="B324" s="43" t="n"/>
      <c r="C324" s="44" t="n"/>
      <c r="D324" s="44" t="n"/>
      <c r="E324" s="29" t="n"/>
      <c r="F324" s="29" t="n"/>
      <c r="G324" s="29" t="n"/>
      <c r="H324" s="29" t="n"/>
      <c r="I324" s="29" t="n"/>
      <c r="J324" s="29" t="n"/>
      <c r="K324" s="29" t="n"/>
      <c r="L324" s="45" t="n"/>
      <c r="M324" s="45" t="n"/>
      <c r="N324" s="45" t="n"/>
      <c r="O324" s="45" t="n"/>
      <c r="P324" s="45" t="n"/>
      <c r="Q324" s="45" t="n"/>
      <c r="R324" s="29" t="n"/>
      <c r="S324" s="29" t="n"/>
      <c r="T324" s="42">
        <f>IF(OR(L324="",M324=""),"",IFERROR(Settings!$B$3*Settings!$B$5,0))</f>
        <v/>
      </c>
      <c r="U324" s="42">
        <f>IF(OR(L324="",M324="",R324=""),"",ABS(L324-M324)*R324*IF(S324="",1,S324))</f>
        <v/>
      </c>
      <c r="V324" s="26">
        <f>IFERROR(ABS(N324-L324)/ABS(L324-M324),"")</f>
        <v/>
      </c>
      <c r="W324" s="29" t="n"/>
      <c r="X324" s="29" t="n"/>
      <c r="Y324" s="29" t="n"/>
      <c r="Z324" s="29" t="n"/>
      <c r="AA324" s="29" t="n"/>
      <c r="AB324" s="29" t="n"/>
      <c r="AC324" s="29" t="n"/>
      <c r="AD324" s="42">
        <f>IF(OR(L324="",Q324="",R324=""),"",IF(H324="Long",(Q324-L324)*R324*IF(S324="",1,S324),(L324-Q324)*R324*IF(S324="",1,S324)))</f>
        <v/>
      </c>
      <c r="AE324" s="45" t="n"/>
      <c r="AF324" s="45" t="n"/>
      <c r="AG324" s="42">
        <f>IF(AD324="","",AD324-IF(AE324="",0,AE324)-IF(AF324="",0,AF324))</f>
        <v/>
      </c>
      <c r="AH324" s="26">
        <f>IFERROR(AG324/U324,"")</f>
        <v/>
      </c>
      <c r="AI324" s="29" t="n"/>
      <c r="AJ324" s="29" t="n"/>
      <c r="AK324" s="29" t="n"/>
      <c r="AL324" s="29" t="n"/>
    </row>
    <row r="325">
      <c r="A325" s="20">
        <f>IF(B325="","","TR-"&amp;TEXT(ROW()-2,"0000"))</f>
        <v/>
      </c>
      <c r="B325" s="39" t="n"/>
      <c r="C325" s="40" t="n"/>
      <c r="D325" s="40" t="n"/>
      <c r="E325" s="23" t="n"/>
      <c r="F325" s="23" t="n"/>
      <c r="G325" s="23" t="n"/>
      <c r="H325" s="23" t="n"/>
      <c r="I325" s="23" t="n"/>
      <c r="J325" s="23" t="n"/>
      <c r="K325" s="23" t="n"/>
      <c r="L325" s="41" t="n"/>
      <c r="M325" s="41" t="n"/>
      <c r="N325" s="41" t="n"/>
      <c r="O325" s="41" t="n"/>
      <c r="P325" s="41" t="n"/>
      <c r="Q325" s="41" t="n"/>
      <c r="R325" s="23" t="n"/>
      <c r="S325" s="23" t="n"/>
      <c r="T325" s="42">
        <f>IF(OR(L325="",M325=""),"",IFERROR(Settings!$B$3*Settings!$B$5,0))</f>
        <v/>
      </c>
      <c r="U325" s="42">
        <f>IF(OR(L325="",M325="",R325=""),"",ABS(L325-M325)*R325*IF(S325="",1,S325))</f>
        <v/>
      </c>
      <c r="V325" s="26">
        <f>IFERROR(ABS(N325-L325)/ABS(L325-M325),"")</f>
        <v/>
      </c>
      <c r="W325" s="23" t="n"/>
      <c r="X325" s="23" t="n"/>
      <c r="Y325" s="23" t="n"/>
      <c r="Z325" s="23" t="n"/>
      <c r="AA325" s="23" t="n"/>
      <c r="AB325" s="23" t="n"/>
      <c r="AC325" s="23" t="n"/>
      <c r="AD325" s="42">
        <f>IF(OR(L325="",Q325="",R325=""),"",IF(H325="Long",(Q325-L325)*R325*IF(S325="",1,S325),(L325-Q325)*R325*IF(S325="",1,S325)))</f>
        <v/>
      </c>
      <c r="AE325" s="41" t="n"/>
      <c r="AF325" s="41" t="n"/>
      <c r="AG325" s="42">
        <f>IF(AD325="","",AD325-IF(AE325="",0,AE325)-IF(AF325="",0,AF325))</f>
        <v/>
      </c>
      <c r="AH325" s="26">
        <f>IFERROR(AG325/U325,"")</f>
        <v/>
      </c>
      <c r="AI325" s="23" t="n"/>
      <c r="AJ325" s="23" t="n"/>
      <c r="AK325" s="23" t="n"/>
      <c r="AL325" s="23" t="n"/>
    </row>
    <row r="326">
      <c r="A326" s="20">
        <f>IF(B326="","","TR-"&amp;TEXT(ROW()-2,"0000"))</f>
        <v/>
      </c>
      <c r="B326" s="43" t="n"/>
      <c r="C326" s="44" t="n"/>
      <c r="D326" s="44" t="n"/>
      <c r="E326" s="29" t="n"/>
      <c r="F326" s="29" t="n"/>
      <c r="G326" s="29" t="n"/>
      <c r="H326" s="29" t="n"/>
      <c r="I326" s="29" t="n"/>
      <c r="J326" s="29" t="n"/>
      <c r="K326" s="29" t="n"/>
      <c r="L326" s="45" t="n"/>
      <c r="M326" s="45" t="n"/>
      <c r="N326" s="45" t="n"/>
      <c r="O326" s="45" t="n"/>
      <c r="P326" s="45" t="n"/>
      <c r="Q326" s="45" t="n"/>
      <c r="R326" s="29" t="n"/>
      <c r="S326" s="29" t="n"/>
      <c r="T326" s="42">
        <f>IF(OR(L326="",M326=""),"",IFERROR(Settings!$B$3*Settings!$B$5,0))</f>
        <v/>
      </c>
      <c r="U326" s="42">
        <f>IF(OR(L326="",M326="",R326=""),"",ABS(L326-M326)*R326*IF(S326="",1,S326))</f>
        <v/>
      </c>
      <c r="V326" s="26">
        <f>IFERROR(ABS(N326-L326)/ABS(L326-M326),"")</f>
        <v/>
      </c>
      <c r="W326" s="29" t="n"/>
      <c r="X326" s="29" t="n"/>
      <c r="Y326" s="29" t="n"/>
      <c r="Z326" s="29" t="n"/>
      <c r="AA326" s="29" t="n"/>
      <c r="AB326" s="29" t="n"/>
      <c r="AC326" s="29" t="n"/>
      <c r="AD326" s="42">
        <f>IF(OR(L326="",Q326="",R326=""),"",IF(H326="Long",(Q326-L326)*R326*IF(S326="",1,S326),(L326-Q326)*R326*IF(S326="",1,S326)))</f>
        <v/>
      </c>
      <c r="AE326" s="45" t="n"/>
      <c r="AF326" s="45" t="n"/>
      <c r="AG326" s="42">
        <f>IF(AD326="","",AD326-IF(AE326="",0,AE326)-IF(AF326="",0,AF326))</f>
        <v/>
      </c>
      <c r="AH326" s="26">
        <f>IFERROR(AG326/U326,"")</f>
        <v/>
      </c>
      <c r="AI326" s="29" t="n"/>
      <c r="AJ326" s="29" t="n"/>
      <c r="AK326" s="29" t="n"/>
      <c r="AL326" s="29" t="n"/>
    </row>
    <row r="327">
      <c r="A327" s="20">
        <f>IF(B327="","","TR-"&amp;TEXT(ROW()-2,"0000"))</f>
        <v/>
      </c>
      <c r="B327" s="39" t="n"/>
      <c r="C327" s="40" t="n"/>
      <c r="D327" s="40" t="n"/>
      <c r="E327" s="23" t="n"/>
      <c r="F327" s="23" t="n"/>
      <c r="G327" s="23" t="n"/>
      <c r="H327" s="23" t="n"/>
      <c r="I327" s="23" t="n"/>
      <c r="J327" s="23" t="n"/>
      <c r="K327" s="23" t="n"/>
      <c r="L327" s="41" t="n"/>
      <c r="M327" s="41" t="n"/>
      <c r="N327" s="41" t="n"/>
      <c r="O327" s="41" t="n"/>
      <c r="P327" s="41" t="n"/>
      <c r="Q327" s="41" t="n"/>
      <c r="R327" s="23" t="n"/>
      <c r="S327" s="23" t="n"/>
      <c r="T327" s="42">
        <f>IF(OR(L327="",M327=""),"",IFERROR(Settings!$B$3*Settings!$B$5,0))</f>
        <v/>
      </c>
      <c r="U327" s="42">
        <f>IF(OR(L327="",M327="",R327=""),"",ABS(L327-M327)*R327*IF(S327="",1,S327))</f>
        <v/>
      </c>
      <c r="V327" s="26">
        <f>IFERROR(ABS(N327-L327)/ABS(L327-M327),"")</f>
        <v/>
      </c>
      <c r="W327" s="23" t="n"/>
      <c r="X327" s="23" t="n"/>
      <c r="Y327" s="23" t="n"/>
      <c r="Z327" s="23" t="n"/>
      <c r="AA327" s="23" t="n"/>
      <c r="AB327" s="23" t="n"/>
      <c r="AC327" s="23" t="n"/>
      <c r="AD327" s="42">
        <f>IF(OR(L327="",Q327="",R327=""),"",IF(H327="Long",(Q327-L327)*R327*IF(S327="",1,S327),(L327-Q327)*R327*IF(S327="",1,S327)))</f>
        <v/>
      </c>
      <c r="AE327" s="41" t="n"/>
      <c r="AF327" s="41" t="n"/>
      <c r="AG327" s="42">
        <f>IF(AD327="","",AD327-IF(AE327="",0,AE327)-IF(AF327="",0,AF327))</f>
        <v/>
      </c>
      <c r="AH327" s="26">
        <f>IFERROR(AG327/U327,"")</f>
        <v/>
      </c>
      <c r="AI327" s="23" t="n"/>
      <c r="AJ327" s="23" t="n"/>
      <c r="AK327" s="23" t="n"/>
      <c r="AL327" s="23" t="n"/>
    </row>
    <row r="328">
      <c r="A328" s="20">
        <f>IF(B328="","","TR-"&amp;TEXT(ROW()-2,"0000"))</f>
        <v/>
      </c>
      <c r="B328" s="43" t="n"/>
      <c r="C328" s="44" t="n"/>
      <c r="D328" s="44" t="n"/>
      <c r="E328" s="29" t="n"/>
      <c r="F328" s="29" t="n"/>
      <c r="G328" s="29" t="n"/>
      <c r="H328" s="29" t="n"/>
      <c r="I328" s="29" t="n"/>
      <c r="J328" s="29" t="n"/>
      <c r="K328" s="29" t="n"/>
      <c r="L328" s="45" t="n"/>
      <c r="M328" s="45" t="n"/>
      <c r="N328" s="45" t="n"/>
      <c r="O328" s="45" t="n"/>
      <c r="P328" s="45" t="n"/>
      <c r="Q328" s="45" t="n"/>
      <c r="R328" s="29" t="n"/>
      <c r="S328" s="29" t="n"/>
      <c r="T328" s="42">
        <f>IF(OR(L328="",M328=""),"",IFERROR(Settings!$B$3*Settings!$B$5,0))</f>
        <v/>
      </c>
      <c r="U328" s="42">
        <f>IF(OR(L328="",M328="",R328=""),"",ABS(L328-M328)*R328*IF(S328="",1,S328))</f>
        <v/>
      </c>
      <c r="V328" s="26">
        <f>IFERROR(ABS(N328-L328)/ABS(L328-M328),"")</f>
        <v/>
      </c>
      <c r="W328" s="29" t="n"/>
      <c r="X328" s="29" t="n"/>
      <c r="Y328" s="29" t="n"/>
      <c r="Z328" s="29" t="n"/>
      <c r="AA328" s="29" t="n"/>
      <c r="AB328" s="29" t="n"/>
      <c r="AC328" s="29" t="n"/>
      <c r="AD328" s="42">
        <f>IF(OR(L328="",Q328="",R328=""),"",IF(H328="Long",(Q328-L328)*R328*IF(S328="",1,S328),(L328-Q328)*R328*IF(S328="",1,S328)))</f>
        <v/>
      </c>
      <c r="AE328" s="45" t="n"/>
      <c r="AF328" s="45" t="n"/>
      <c r="AG328" s="42">
        <f>IF(AD328="","",AD328-IF(AE328="",0,AE328)-IF(AF328="",0,AF328))</f>
        <v/>
      </c>
      <c r="AH328" s="26">
        <f>IFERROR(AG328/U328,"")</f>
        <v/>
      </c>
      <c r="AI328" s="29" t="n"/>
      <c r="AJ328" s="29" t="n"/>
      <c r="AK328" s="29" t="n"/>
      <c r="AL328" s="29" t="n"/>
    </row>
    <row r="329">
      <c r="A329" s="20">
        <f>IF(B329="","","TR-"&amp;TEXT(ROW()-2,"0000"))</f>
        <v/>
      </c>
      <c r="B329" s="39" t="n"/>
      <c r="C329" s="40" t="n"/>
      <c r="D329" s="40" t="n"/>
      <c r="E329" s="23" t="n"/>
      <c r="F329" s="23" t="n"/>
      <c r="G329" s="23" t="n"/>
      <c r="H329" s="23" t="n"/>
      <c r="I329" s="23" t="n"/>
      <c r="J329" s="23" t="n"/>
      <c r="K329" s="23" t="n"/>
      <c r="L329" s="41" t="n"/>
      <c r="M329" s="41" t="n"/>
      <c r="N329" s="41" t="n"/>
      <c r="O329" s="41" t="n"/>
      <c r="P329" s="41" t="n"/>
      <c r="Q329" s="41" t="n"/>
      <c r="R329" s="23" t="n"/>
      <c r="S329" s="23" t="n"/>
      <c r="T329" s="42">
        <f>IF(OR(L329="",M329=""),"",IFERROR(Settings!$B$3*Settings!$B$5,0))</f>
        <v/>
      </c>
      <c r="U329" s="42">
        <f>IF(OR(L329="",M329="",R329=""),"",ABS(L329-M329)*R329*IF(S329="",1,S329))</f>
        <v/>
      </c>
      <c r="V329" s="26">
        <f>IFERROR(ABS(N329-L329)/ABS(L329-M329),"")</f>
        <v/>
      </c>
      <c r="W329" s="23" t="n"/>
      <c r="X329" s="23" t="n"/>
      <c r="Y329" s="23" t="n"/>
      <c r="Z329" s="23" t="n"/>
      <c r="AA329" s="23" t="n"/>
      <c r="AB329" s="23" t="n"/>
      <c r="AC329" s="23" t="n"/>
      <c r="AD329" s="42">
        <f>IF(OR(L329="",Q329="",R329=""),"",IF(H329="Long",(Q329-L329)*R329*IF(S329="",1,S329),(L329-Q329)*R329*IF(S329="",1,S329)))</f>
        <v/>
      </c>
      <c r="AE329" s="41" t="n"/>
      <c r="AF329" s="41" t="n"/>
      <c r="AG329" s="42">
        <f>IF(AD329="","",AD329-IF(AE329="",0,AE329)-IF(AF329="",0,AF329))</f>
        <v/>
      </c>
      <c r="AH329" s="26">
        <f>IFERROR(AG329/U329,"")</f>
        <v/>
      </c>
      <c r="AI329" s="23" t="n"/>
      <c r="AJ329" s="23" t="n"/>
      <c r="AK329" s="23" t="n"/>
      <c r="AL329" s="23" t="n"/>
    </row>
    <row r="330">
      <c r="A330" s="20">
        <f>IF(B330="","","TR-"&amp;TEXT(ROW()-2,"0000"))</f>
        <v/>
      </c>
      <c r="B330" s="43" t="n"/>
      <c r="C330" s="44" t="n"/>
      <c r="D330" s="44" t="n"/>
      <c r="E330" s="29" t="n"/>
      <c r="F330" s="29" t="n"/>
      <c r="G330" s="29" t="n"/>
      <c r="H330" s="29" t="n"/>
      <c r="I330" s="29" t="n"/>
      <c r="J330" s="29" t="n"/>
      <c r="K330" s="29" t="n"/>
      <c r="L330" s="45" t="n"/>
      <c r="M330" s="45" t="n"/>
      <c r="N330" s="45" t="n"/>
      <c r="O330" s="45" t="n"/>
      <c r="P330" s="45" t="n"/>
      <c r="Q330" s="45" t="n"/>
      <c r="R330" s="29" t="n"/>
      <c r="S330" s="29" t="n"/>
      <c r="T330" s="42">
        <f>IF(OR(L330="",M330=""),"",IFERROR(Settings!$B$3*Settings!$B$5,0))</f>
        <v/>
      </c>
      <c r="U330" s="42">
        <f>IF(OR(L330="",M330="",R330=""),"",ABS(L330-M330)*R330*IF(S330="",1,S330))</f>
        <v/>
      </c>
      <c r="V330" s="26">
        <f>IFERROR(ABS(N330-L330)/ABS(L330-M330),"")</f>
        <v/>
      </c>
      <c r="W330" s="29" t="n"/>
      <c r="X330" s="29" t="n"/>
      <c r="Y330" s="29" t="n"/>
      <c r="Z330" s="29" t="n"/>
      <c r="AA330" s="29" t="n"/>
      <c r="AB330" s="29" t="n"/>
      <c r="AC330" s="29" t="n"/>
      <c r="AD330" s="42">
        <f>IF(OR(L330="",Q330="",R330=""),"",IF(H330="Long",(Q330-L330)*R330*IF(S330="",1,S330),(L330-Q330)*R330*IF(S330="",1,S330)))</f>
        <v/>
      </c>
      <c r="AE330" s="45" t="n"/>
      <c r="AF330" s="45" t="n"/>
      <c r="AG330" s="42">
        <f>IF(AD330="","",AD330-IF(AE330="",0,AE330)-IF(AF330="",0,AF330))</f>
        <v/>
      </c>
      <c r="AH330" s="26">
        <f>IFERROR(AG330/U330,"")</f>
        <v/>
      </c>
      <c r="AI330" s="29" t="n"/>
      <c r="AJ330" s="29" t="n"/>
      <c r="AK330" s="29" t="n"/>
      <c r="AL330" s="29" t="n"/>
    </row>
    <row r="331">
      <c r="A331" s="20">
        <f>IF(B331="","","TR-"&amp;TEXT(ROW()-2,"0000"))</f>
        <v/>
      </c>
      <c r="B331" s="39" t="n"/>
      <c r="C331" s="40" t="n"/>
      <c r="D331" s="40" t="n"/>
      <c r="E331" s="23" t="n"/>
      <c r="F331" s="23" t="n"/>
      <c r="G331" s="23" t="n"/>
      <c r="H331" s="23" t="n"/>
      <c r="I331" s="23" t="n"/>
      <c r="J331" s="23" t="n"/>
      <c r="K331" s="23" t="n"/>
      <c r="L331" s="41" t="n"/>
      <c r="M331" s="41" t="n"/>
      <c r="N331" s="41" t="n"/>
      <c r="O331" s="41" t="n"/>
      <c r="P331" s="41" t="n"/>
      <c r="Q331" s="41" t="n"/>
      <c r="R331" s="23" t="n"/>
      <c r="S331" s="23" t="n"/>
      <c r="T331" s="42">
        <f>IF(OR(L331="",M331=""),"",IFERROR(Settings!$B$3*Settings!$B$5,0))</f>
        <v/>
      </c>
      <c r="U331" s="42">
        <f>IF(OR(L331="",M331="",R331=""),"",ABS(L331-M331)*R331*IF(S331="",1,S331))</f>
        <v/>
      </c>
      <c r="V331" s="26">
        <f>IFERROR(ABS(N331-L331)/ABS(L331-M331),"")</f>
        <v/>
      </c>
      <c r="W331" s="23" t="n"/>
      <c r="X331" s="23" t="n"/>
      <c r="Y331" s="23" t="n"/>
      <c r="Z331" s="23" t="n"/>
      <c r="AA331" s="23" t="n"/>
      <c r="AB331" s="23" t="n"/>
      <c r="AC331" s="23" t="n"/>
      <c r="AD331" s="42">
        <f>IF(OR(L331="",Q331="",R331=""),"",IF(H331="Long",(Q331-L331)*R331*IF(S331="",1,S331),(L331-Q331)*R331*IF(S331="",1,S331)))</f>
        <v/>
      </c>
      <c r="AE331" s="41" t="n"/>
      <c r="AF331" s="41" t="n"/>
      <c r="AG331" s="42">
        <f>IF(AD331="","",AD331-IF(AE331="",0,AE331)-IF(AF331="",0,AF331))</f>
        <v/>
      </c>
      <c r="AH331" s="26">
        <f>IFERROR(AG331/U331,"")</f>
        <v/>
      </c>
      <c r="AI331" s="23" t="n"/>
      <c r="AJ331" s="23" t="n"/>
      <c r="AK331" s="23" t="n"/>
      <c r="AL331" s="23" t="n"/>
    </row>
    <row r="332">
      <c r="A332" s="20">
        <f>IF(B332="","","TR-"&amp;TEXT(ROW()-2,"0000"))</f>
        <v/>
      </c>
      <c r="B332" s="43" t="n"/>
      <c r="C332" s="44" t="n"/>
      <c r="D332" s="44" t="n"/>
      <c r="E332" s="29" t="n"/>
      <c r="F332" s="29" t="n"/>
      <c r="G332" s="29" t="n"/>
      <c r="H332" s="29" t="n"/>
      <c r="I332" s="29" t="n"/>
      <c r="J332" s="29" t="n"/>
      <c r="K332" s="29" t="n"/>
      <c r="L332" s="45" t="n"/>
      <c r="M332" s="45" t="n"/>
      <c r="N332" s="45" t="n"/>
      <c r="O332" s="45" t="n"/>
      <c r="P332" s="45" t="n"/>
      <c r="Q332" s="45" t="n"/>
      <c r="R332" s="29" t="n"/>
      <c r="S332" s="29" t="n"/>
      <c r="T332" s="42">
        <f>IF(OR(L332="",M332=""),"",IFERROR(Settings!$B$3*Settings!$B$5,0))</f>
        <v/>
      </c>
      <c r="U332" s="42">
        <f>IF(OR(L332="",M332="",R332=""),"",ABS(L332-M332)*R332*IF(S332="",1,S332))</f>
        <v/>
      </c>
      <c r="V332" s="26">
        <f>IFERROR(ABS(N332-L332)/ABS(L332-M332),"")</f>
        <v/>
      </c>
      <c r="W332" s="29" t="n"/>
      <c r="X332" s="29" t="n"/>
      <c r="Y332" s="29" t="n"/>
      <c r="Z332" s="29" t="n"/>
      <c r="AA332" s="29" t="n"/>
      <c r="AB332" s="29" t="n"/>
      <c r="AC332" s="29" t="n"/>
      <c r="AD332" s="42">
        <f>IF(OR(L332="",Q332="",R332=""),"",IF(H332="Long",(Q332-L332)*R332*IF(S332="",1,S332),(L332-Q332)*R332*IF(S332="",1,S332)))</f>
        <v/>
      </c>
      <c r="AE332" s="45" t="n"/>
      <c r="AF332" s="45" t="n"/>
      <c r="AG332" s="42">
        <f>IF(AD332="","",AD332-IF(AE332="",0,AE332)-IF(AF332="",0,AF332))</f>
        <v/>
      </c>
      <c r="AH332" s="26">
        <f>IFERROR(AG332/U332,"")</f>
        <v/>
      </c>
      <c r="AI332" s="29" t="n"/>
      <c r="AJ332" s="29" t="n"/>
      <c r="AK332" s="29" t="n"/>
      <c r="AL332" s="29" t="n"/>
    </row>
    <row r="333">
      <c r="A333" s="20">
        <f>IF(B333="","","TR-"&amp;TEXT(ROW()-2,"0000"))</f>
        <v/>
      </c>
      <c r="B333" s="39" t="n"/>
      <c r="C333" s="40" t="n"/>
      <c r="D333" s="40" t="n"/>
      <c r="E333" s="23" t="n"/>
      <c r="F333" s="23" t="n"/>
      <c r="G333" s="23" t="n"/>
      <c r="H333" s="23" t="n"/>
      <c r="I333" s="23" t="n"/>
      <c r="J333" s="23" t="n"/>
      <c r="K333" s="23" t="n"/>
      <c r="L333" s="41" t="n"/>
      <c r="M333" s="41" t="n"/>
      <c r="N333" s="41" t="n"/>
      <c r="O333" s="41" t="n"/>
      <c r="P333" s="41" t="n"/>
      <c r="Q333" s="41" t="n"/>
      <c r="R333" s="23" t="n"/>
      <c r="S333" s="23" t="n"/>
      <c r="T333" s="42">
        <f>IF(OR(L333="",M333=""),"",IFERROR(Settings!$B$3*Settings!$B$5,0))</f>
        <v/>
      </c>
      <c r="U333" s="42">
        <f>IF(OR(L333="",M333="",R333=""),"",ABS(L333-M333)*R333*IF(S333="",1,S333))</f>
        <v/>
      </c>
      <c r="V333" s="26">
        <f>IFERROR(ABS(N333-L333)/ABS(L333-M333),"")</f>
        <v/>
      </c>
      <c r="W333" s="23" t="n"/>
      <c r="X333" s="23" t="n"/>
      <c r="Y333" s="23" t="n"/>
      <c r="Z333" s="23" t="n"/>
      <c r="AA333" s="23" t="n"/>
      <c r="AB333" s="23" t="n"/>
      <c r="AC333" s="23" t="n"/>
      <c r="AD333" s="42">
        <f>IF(OR(L333="",Q333="",R333=""),"",IF(H333="Long",(Q333-L333)*R333*IF(S333="",1,S333),(L333-Q333)*R333*IF(S333="",1,S333)))</f>
        <v/>
      </c>
      <c r="AE333" s="41" t="n"/>
      <c r="AF333" s="41" t="n"/>
      <c r="AG333" s="42">
        <f>IF(AD333="","",AD333-IF(AE333="",0,AE333)-IF(AF333="",0,AF333))</f>
        <v/>
      </c>
      <c r="AH333" s="26">
        <f>IFERROR(AG333/U333,"")</f>
        <v/>
      </c>
      <c r="AI333" s="23" t="n"/>
      <c r="AJ333" s="23" t="n"/>
      <c r="AK333" s="23" t="n"/>
      <c r="AL333" s="23" t="n"/>
    </row>
    <row r="334">
      <c r="A334" s="20">
        <f>IF(B334="","","TR-"&amp;TEXT(ROW()-2,"0000"))</f>
        <v/>
      </c>
      <c r="B334" s="43" t="n"/>
      <c r="C334" s="44" t="n"/>
      <c r="D334" s="44" t="n"/>
      <c r="E334" s="29" t="n"/>
      <c r="F334" s="29" t="n"/>
      <c r="G334" s="29" t="n"/>
      <c r="H334" s="29" t="n"/>
      <c r="I334" s="29" t="n"/>
      <c r="J334" s="29" t="n"/>
      <c r="K334" s="29" t="n"/>
      <c r="L334" s="45" t="n"/>
      <c r="M334" s="45" t="n"/>
      <c r="N334" s="45" t="n"/>
      <c r="O334" s="45" t="n"/>
      <c r="P334" s="45" t="n"/>
      <c r="Q334" s="45" t="n"/>
      <c r="R334" s="29" t="n"/>
      <c r="S334" s="29" t="n"/>
      <c r="T334" s="42">
        <f>IF(OR(L334="",M334=""),"",IFERROR(Settings!$B$3*Settings!$B$5,0))</f>
        <v/>
      </c>
      <c r="U334" s="42">
        <f>IF(OR(L334="",M334="",R334=""),"",ABS(L334-M334)*R334*IF(S334="",1,S334))</f>
        <v/>
      </c>
      <c r="V334" s="26">
        <f>IFERROR(ABS(N334-L334)/ABS(L334-M334),"")</f>
        <v/>
      </c>
      <c r="W334" s="29" t="n"/>
      <c r="X334" s="29" t="n"/>
      <c r="Y334" s="29" t="n"/>
      <c r="Z334" s="29" t="n"/>
      <c r="AA334" s="29" t="n"/>
      <c r="AB334" s="29" t="n"/>
      <c r="AC334" s="29" t="n"/>
      <c r="AD334" s="42">
        <f>IF(OR(L334="",Q334="",R334=""),"",IF(H334="Long",(Q334-L334)*R334*IF(S334="",1,S334),(L334-Q334)*R334*IF(S334="",1,S334)))</f>
        <v/>
      </c>
      <c r="AE334" s="45" t="n"/>
      <c r="AF334" s="45" t="n"/>
      <c r="AG334" s="42">
        <f>IF(AD334="","",AD334-IF(AE334="",0,AE334)-IF(AF334="",0,AF334))</f>
        <v/>
      </c>
      <c r="AH334" s="26">
        <f>IFERROR(AG334/U334,"")</f>
        <v/>
      </c>
      <c r="AI334" s="29" t="n"/>
      <c r="AJ334" s="29" t="n"/>
      <c r="AK334" s="29" t="n"/>
      <c r="AL334" s="29" t="n"/>
    </row>
    <row r="335">
      <c r="A335" s="20">
        <f>IF(B335="","","TR-"&amp;TEXT(ROW()-2,"0000"))</f>
        <v/>
      </c>
      <c r="B335" s="39" t="n"/>
      <c r="C335" s="40" t="n"/>
      <c r="D335" s="40" t="n"/>
      <c r="E335" s="23" t="n"/>
      <c r="F335" s="23" t="n"/>
      <c r="G335" s="23" t="n"/>
      <c r="H335" s="23" t="n"/>
      <c r="I335" s="23" t="n"/>
      <c r="J335" s="23" t="n"/>
      <c r="K335" s="23" t="n"/>
      <c r="L335" s="41" t="n"/>
      <c r="M335" s="41" t="n"/>
      <c r="N335" s="41" t="n"/>
      <c r="O335" s="41" t="n"/>
      <c r="P335" s="41" t="n"/>
      <c r="Q335" s="41" t="n"/>
      <c r="R335" s="23" t="n"/>
      <c r="S335" s="23" t="n"/>
      <c r="T335" s="42">
        <f>IF(OR(L335="",M335=""),"",IFERROR(Settings!$B$3*Settings!$B$5,0))</f>
        <v/>
      </c>
      <c r="U335" s="42">
        <f>IF(OR(L335="",M335="",R335=""),"",ABS(L335-M335)*R335*IF(S335="",1,S335))</f>
        <v/>
      </c>
      <c r="V335" s="26">
        <f>IFERROR(ABS(N335-L335)/ABS(L335-M335),"")</f>
        <v/>
      </c>
      <c r="W335" s="23" t="n"/>
      <c r="X335" s="23" t="n"/>
      <c r="Y335" s="23" t="n"/>
      <c r="Z335" s="23" t="n"/>
      <c r="AA335" s="23" t="n"/>
      <c r="AB335" s="23" t="n"/>
      <c r="AC335" s="23" t="n"/>
      <c r="AD335" s="42">
        <f>IF(OR(L335="",Q335="",R335=""),"",IF(H335="Long",(Q335-L335)*R335*IF(S335="",1,S335),(L335-Q335)*R335*IF(S335="",1,S335)))</f>
        <v/>
      </c>
      <c r="AE335" s="41" t="n"/>
      <c r="AF335" s="41" t="n"/>
      <c r="AG335" s="42">
        <f>IF(AD335="","",AD335-IF(AE335="",0,AE335)-IF(AF335="",0,AF335))</f>
        <v/>
      </c>
      <c r="AH335" s="26">
        <f>IFERROR(AG335/U335,"")</f>
        <v/>
      </c>
      <c r="AI335" s="23" t="n"/>
      <c r="AJ335" s="23" t="n"/>
      <c r="AK335" s="23" t="n"/>
      <c r="AL335" s="23" t="n"/>
    </row>
    <row r="336">
      <c r="A336" s="20">
        <f>IF(B336="","","TR-"&amp;TEXT(ROW()-2,"0000"))</f>
        <v/>
      </c>
      <c r="B336" s="43" t="n"/>
      <c r="C336" s="44" t="n"/>
      <c r="D336" s="44" t="n"/>
      <c r="E336" s="29" t="n"/>
      <c r="F336" s="29" t="n"/>
      <c r="G336" s="29" t="n"/>
      <c r="H336" s="29" t="n"/>
      <c r="I336" s="29" t="n"/>
      <c r="J336" s="29" t="n"/>
      <c r="K336" s="29" t="n"/>
      <c r="L336" s="45" t="n"/>
      <c r="M336" s="45" t="n"/>
      <c r="N336" s="45" t="n"/>
      <c r="O336" s="45" t="n"/>
      <c r="P336" s="45" t="n"/>
      <c r="Q336" s="45" t="n"/>
      <c r="R336" s="29" t="n"/>
      <c r="S336" s="29" t="n"/>
      <c r="T336" s="42">
        <f>IF(OR(L336="",M336=""),"",IFERROR(Settings!$B$3*Settings!$B$5,0))</f>
        <v/>
      </c>
      <c r="U336" s="42">
        <f>IF(OR(L336="",M336="",R336=""),"",ABS(L336-M336)*R336*IF(S336="",1,S336))</f>
        <v/>
      </c>
      <c r="V336" s="26">
        <f>IFERROR(ABS(N336-L336)/ABS(L336-M336),"")</f>
        <v/>
      </c>
      <c r="W336" s="29" t="n"/>
      <c r="X336" s="29" t="n"/>
      <c r="Y336" s="29" t="n"/>
      <c r="Z336" s="29" t="n"/>
      <c r="AA336" s="29" t="n"/>
      <c r="AB336" s="29" t="n"/>
      <c r="AC336" s="29" t="n"/>
      <c r="AD336" s="42">
        <f>IF(OR(L336="",Q336="",R336=""),"",IF(H336="Long",(Q336-L336)*R336*IF(S336="",1,S336),(L336-Q336)*R336*IF(S336="",1,S336)))</f>
        <v/>
      </c>
      <c r="AE336" s="45" t="n"/>
      <c r="AF336" s="45" t="n"/>
      <c r="AG336" s="42">
        <f>IF(AD336="","",AD336-IF(AE336="",0,AE336)-IF(AF336="",0,AF336))</f>
        <v/>
      </c>
      <c r="AH336" s="26">
        <f>IFERROR(AG336/U336,"")</f>
        <v/>
      </c>
      <c r="AI336" s="29" t="n"/>
      <c r="AJ336" s="29" t="n"/>
      <c r="AK336" s="29" t="n"/>
      <c r="AL336" s="29" t="n"/>
    </row>
    <row r="337">
      <c r="A337" s="20">
        <f>IF(B337="","","TR-"&amp;TEXT(ROW()-2,"0000"))</f>
        <v/>
      </c>
      <c r="B337" s="39" t="n"/>
      <c r="C337" s="40" t="n"/>
      <c r="D337" s="40" t="n"/>
      <c r="E337" s="23" t="n"/>
      <c r="F337" s="23" t="n"/>
      <c r="G337" s="23" t="n"/>
      <c r="H337" s="23" t="n"/>
      <c r="I337" s="23" t="n"/>
      <c r="J337" s="23" t="n"/>
      <c r="K337" s="23" t="n"/>
      <c r="L337" s="41" t="n"/>
      <c r="M337" s="41" t="n"/>
      <c r="N337" s="41" t="n"/>
      <c r="O337" s="41" t="n"/>
      <c r="P337" s="41" t="n"/>
      <c r="Q337" s="41" t="n"/>
      <c r="R337" s="23" t="n"/>
      <c r="S337" s="23" t="n"/>
      <c r="T337" s="42">
        <f>IF(OR(L337="",M337=""),"",IFERROR(Settings!$B$3*Settings!$B$5,0))</f>
        <v/>
      </c>
      <c r="U337" s="42">
        <f>IF(OR(L337="",M337="",R337=""),"",ABS(L337-M337)*R337*IF(S337="",1,S337))</f>
        <v/>
      </c>
      <c r="V337" s="26">
        <f>IFERROR(ABS(N337-L337)/ABS(L337-M337),"")</f>
        <v/>
      </c>
      <c r="W337" s="23" t="n"/>
      <c r="X337" s="23" t="n"/>
      <c r="Y337" s="23" t="n"/>
      <c r="Z337" s="23" t="n"/>
      <c r="AA337" s="23" t="n"/>
      <c r="AB337" s="23" t="n"/>
      <c r="AC337" s="23" t="n"/>
      <c r="AD337" s="42">
        <f>IF(OR(L337="",Q337="",R337=""),"",IF(H337="Long",(Q337-L337)*R337*IF(S337="",1,S337),(L337-Q337)*R337*IF(S337="",1,S337)))</f>
        <v/>
      </c>
      <c r="AE337" s="41" t="n"/>
      <c r="AF337" s="41" t="n"/>
      <c r="AG337" s="42">
        <f>IF(AD337="","",AD337-IF(AE337="",0,AE337)-IF(AF337="",0,AF337))</f>
        <v/>
      </c>
      <c r="AH337" s="26">
        <f>IFERROR(AG337/U337,"")</f>
        <v/>
      </c>
      <c r="AI337" s="23" t="n"/>
      <c r="AJ337" s="23" t="n"/>
      <c r="AK337" s="23" t="n"/>
      <c r="AL337" s="23" t="n"/>
    </row>
    <row r="338">
      <c r="A338" s="20">
        <f>IF(B338="","","TR-"&amp;TEXT(ROW()-2,"0000"))</f>
        <v/>
      </c>
      <c r="B338" s="43" t="n"/>
      <c r="C338" s="44" t="n"/>
      <c r="D338" s="44" t="n"/>
      <c r="E338" s="29" t="n"/>
      <c r="F338" s="29" t="n"/>
      <c r="G338" s="29" t="n"/>
      <c r="H338" s="29" t="n"/>
      <c r="I338" s="29" t="n"/>
      <c r="J338" s="29" t="n"/>
      <c r="K338" s="29" t="n"/>
      <c r="L338" s="45" t="n"/>
      <c r="M338" s="45" t="n"/>
      <c r="N338" s="45" t="n"/>
      <c r="O338" s="45" t="n"/>
      <c r="P338" s="45" t="n"/>
      <c r="Q338" s="45" t="n"/>
      <c r="R338" s="29" t="n"/>
      <c r="S338" s="29" t="n"/>
      <c r="T338" s="42">
        <f>IF(OR(L338="",M338=""),"",IFERROR(Settings!$B$3*Settings!$B$5,0))</f>
        <v/>
      </c>
      <c r="U338" s="42">
        <f>IF(OR(L338="",M338="",R338=""),"",ABS(L338-M338)*R338*IF(S338="",1,S338))</f>
        <v/>
      </c>
      <c r="V338" s="26">
        <f>IFERROR(ABS(N338-L338)/ABS(L338-M338),"")</f>
        <v/>
      </c>
      <c r="W338" s="29" t="n"/>
      <c r="X338" s="29" t="n"/>
      <c r="Y338" s="29" t="n"/>
      <c r="Z338" s="29" t="n"/>
      <c r="AA338" s="29" t="n"/>
      <c r="AB338" s="29" t="n"/>
      <c r="AC338" s="29" t="n"/>
      <c r="AD338" s="42">
        <f>IF(OR(L338="",Q338="",R338=""),"",IF(H338="Long",(Q338-L338)*R338*IF(S338="",1,S338),(L338-Q338)*R338*IF(S338="",1,S338)))</f>
        <v/>
      </c>
      <c r="AE338" s="45" t="n"/>
      <c r="AF338" s="45" t="n"/>
      <c r="AG338" s="42">
        <f>IF(AD338="","",AD338-IF(AE338="",0,AE338)-IF(AF338="",0,AF338))</f>
        <v/>
      </c>
      <c r="AH338" s="26">
        <f>IFERROR(AG338/U338,"")</f>
        <v/>
      </c>
      <c r="AI338" s="29" t="n"/>
      <c r="AJ338" s="29" t="n"/>
      <c r="AK338" s="29" t="n"/>
      <c r="AL338" s="29" t="n"/>
    </row>
    <row r="339">
      <c r="A339" s="20">
        <f>IF(B339="","","TR-"&amp;TEXT(ROW()-2,"0000"))</f>
        <v/>
      </c>
      <c r="B339" s="39" t="n"/>
      <c r="C339" s="40" t="n"/>
      <c r="D339" s="40" t="n"/>
      <c r="E339" s="23" t="n"/>
      <c r="F339" s="23" t="n"/>
      <c r="G339" s="23" t="n"/>
      <c r="H339" s="23" t="n"/>
      <c r="I339" s="23" t="n"/>
      <c r="J339" s="23" t="n"/>
      <c r="K339" s="23" t="n"/>
      <c r="L339" s="41" t="n"/>
      <c r="M339" s="41" t="n"/>
      <c r="N339" s="41" t="n"/>
      <c r="O339" s="41" t="n"/>
      <c r="P339" s="41" t="n"/>
      <c r="Q339" s="41" t="n"/>
      <c r="R339" s="23" t="n"/>
      <c r="S339" s="23" t="n"/>
      <c r="T339" s="42">
        <f>IF(OR(L339="",M339=""),"",IFERROR(Settings!$B$3*Settings!$B$5,0))</f>
        <v/>
      </c>
      <c r="U339" s="42">
        <f>IF(OR(L339="",M339="",R339=""),"",ABS(L339-M339)*R339*IF(S339="",1,S339))</f>
        <v/>
      </c>
      <c r="V339" s="26">
        <f>IFERROR(ABS(N339-L339)/ABS(L339-M339),"")</f>
        <v/>
      </c>
      <c r="W339" s="23" t="n"/>
      <c r="X339" s="23" t="n"/>
      <c r="Y339" s="23" t="n"/>
      <c r="Z339" s="23" t="n"/>
      <c r="AA339" s="23" t="n"/>
      <c r="AB339" s="23" t="n"/>
      <c r="AC339" s="23" t="n"/>
      <c r="AD339" s="42">
        <f>IF(OR(L339="",Q339="",R339=""),"",IF(H339="Long",(Q339-L339)*R339*IF(S339="",1,S339),(L339-Q339)*R339*IF(S339="",1,S339)))</f>
        <v/>
      </c>
      <c r="AE339" s="41" t="n"/>
      <c r="AF339" s="41" t="n"/>
      <c r="AG339" s="42">
        <f>IF(AD339="","",AD339-IF(AE339="",0,AE339)-IF(AF339="",0,AF339))</f>
        <v/>
      </c>
      <c r="AH339" s="26">
        <f>IFERROR(AG339/U339,"")</f>
        <v/>
      </c>
      <c r="AI339" s="23" t="n"/>
      <c r="AJ339" s="23" t="n"/>
      <c r="AK339" s="23" t="n"/>
      <c r="AL339" s="23" t="n"/>
    </row>
    <row r="340">
      <c r="A340" s="20">
        <f>IF(B340="","","TR-"&amp;TEXT(ROW()-2,"0000"))</f>
        <v/>
      </c>
      <c r="B340" s="43" t="n"/>
      <c r="C340" s="44" t="n"/>
      <c r="D340" s="44" t="n"/>
      <c r="E340" s="29" t="n"/>
      <c r="F340" s="29" t="n"/>
      <c r="G340" s="29" t="n"/>
      <c r="H340" s="29" t="n"/>
      <c r="I340" s="29" t="n"/>
      <c r="J340" s="29" t="n"/>
      <c r="K340" s="29" t="n"/>
      <c r="L340" s="45" t="n"/>
      <c r="M340" s="45" t="n"/>
      <c r="N340" s="45" t="n"/>
      <c r="O340" s="45" t="n"/>
      <c r="P340" s="45" t="n"/>
      <c r="Q340" s="45" t="n"/>
      <c r="R340" s="29" t="n"/>
      <c r="S340" s="29" t="n"/>
      <c r="T340" s="42">
        <f>IF(OR(L340="",M340=""),"",IFERROR(Settings!$B$3*Settings!$B$5,0))</f>
        <v/>
      </c>
      <c r="U340" s="42">
        <f>IF(OR(L340="",M340="",R340=""),"",ABS(L340-M340)*R340*IF(S340="",1,S340))</f>
        <v/>
      </c>
      <c r="V340" s="26">
        <f>IFERROR(ABS(N340-L340)/ABS(L340-M340),"")</f>
        <v/>
      </c>
      <c r="W340" s="29" t="n"/>
      <c r="X340" s="29" t="n"/>
      <c r="Y340" s="29" t="n"/>
      <c r="Z340" s="29" t="n"/>
      <c r="AA340" s="29" t="n"/>
      <c r="AB340" s="29" t="n"/>
      <c r="AC340" s="29" t="n"/>
      <c r="AD340" s="42">
        <f>IF(OR(L340="",Q340="",R340=""),"",IF(H340="Long",(Q340-L340)*R340*IF(S340="",1,S340),(L340-Q340)*R340*IF(S340="",1,S340)))</f>
        <v/>
      </c>
      <c r="AE340" s="45" t="n"/>
      <c r="AF340" s="45" t="n"/>
      <c r="AG340" s="42">
        <f>IF(AD340="","",AD340-IF(AE340="",0,AE340)-IF(AF340="",0,AF340))</f>
        <v/>
      </c>
      <c r="AH340" s="26">
        <f>IFERROR(AG340/U340,"")</f>
        <v/>
      </c>
      <c r="AI340" s="29" t="n"/>
      <c r="AJ340" s="29" t="n"/>
      <c r="AK340" s="29" t="n"/>
      <c r="AL340" s="29" t="n"/>
    </row>
    <row r="341">
      <c r="A341" s="20">
        <f>IF(B341="","","TR-"&amp;TEXT(ROW()-2,"0000"))</f>
        <v/>
      </c>
      <c r="B341" s="39" t="n"/>
      <c r="C341" s="40" t="n"/>
      <c r="D341" s="40" t="n"/>
      <c r="E341" s="23" t="n"/>
      <c r="F341" s="23" t="n"/>
      <c r="G341" s="23" t="n"/>
      <c r="H341" s="23" t="n"/>
      <c r="I341" s="23" t="n"/>
      <c r="J341" s="23" t="n"/>
      <c r="K341" s="23" t="n"/>
      <c r="L341" s="41" t="n"/>
      <c r="M341" s="41" t="n"/>
      <c r="N341" s="41" t="n"/>
      <c r="O341" s="41" t="n"/>
      <c r="P341" s="41" t="n"/>
      <c r="Q341" s="41" t="n"/>
      <c r="R341" s="23" t="n"/>
      <c r="S341" s="23" t="n"/>
      <c r="T341" s="42">
        <f>IF(OR(L341="",M341=""),"",IFERROR(Settings!$B$3*Settings!$B$5,0))</f>
        <v/>
      </c>
      <c r="U341" s="42">
        <f>IF(OR(L341="",M341="",R341=""),"",ABS(L341-M341)*R341*IF(S341="",1,S341))</f>
        <v/>
      </c>
      <c r="V341" s="26">
        <f>IFERROR(ABS(N341-L341)/ABS(L341-M341),"")</f>
        <v/>
      </c>
      <c r="W341" s="23" t="n"/>
      <c r="X341" s="23" t="n"/>
      <c r="Y341" s="23" t="n"/>
      <c r="Z341" s="23" t="n"/>
      <c r="AA341" s="23" t="n"/>
      <c r="AB341" s="23" t="n"/>
      <c r="AC341" s="23" t="n"/>
      <c r="AD341" s="42">
        <f>IF(OR(L341="",Q341="",R341=""),"",IF(H341="Long",(Q341-L341)*R341*IF(S341="",1,S341),(L341-Q341)*R341*IF(S341="",1,S341)))</f>
        <v/>
      </c>
      <c r="AE341" s="41" t="n"/>
      <c r="AF341" s="41" t="n"/>
      <c r="AG341" s="42">
        <f>IF(AD341="","",AD341-IF(AE341="",0,AE341)-IF(AF341="",0,AF341))</f>
        <v/>
      </c>
      <c r="AH341" s="26">
        <f>IFERROR(AG341/U341,"")</f>
        <v/>
      </c>
      <c r="AI341" s="23" t="n"/>
      <c r="AJ341" s="23" t="n"/>
      <c r="AK341" s="23" t="n"/>
      <c r="AL341" s="23" t="n"/>
    </row>
    <row r="342">
      <c r="A342" s="20">
        <f>IF(B342="","","TR-"&amp;TEXT(ROW()-2,"0000"))</f>
        <v/>
      </c>
      <c r="B342" s="43" t="n"/>
      <c r="C342" s="44" t="n"/>
      <c r="D342" s="44" t="n"/>
      <c r="E342" s="29" t="n"/>
      <c r="F342" s="29" t="n"/>
      <c r="G342" s="29" t="n"/>
      <c r="H342" s="29" t="n"/>
      <c r="I342" s="29" t="n"/>
      <c r="J342" s="29" t="n"/>
      <c r="K342" s="29" t="n"/>
      <c r="L342" s="45" t="n"/>
      <c r="M342" s="45" t="n"/>
      <c r="N342" s="45" t="n"/>
      <c r="O342" s="45" t="n"/>
      <c r="P342" s="45" t="n"/>
      <c r="Q342" s="45" t="n"/>
      <c r="R342" s="29" t="n"/>
      <c r="S342" s="29" t="n"/>
      <c r="T342" s="42">
        <f>IF(OR(L342="",M342=""),"",IFERROR(Settings!$B$3*Settings!$B$5,0))</f>
        <v/>
      </c>
      <c r="U342" s="42">
        <f>IF(OR(L342="",M342="",R342=""),"",ABS(L342-M342)*R342*IF(S342="",1,S342))</f>
        <v/>
      </c>
      <c r="V342" s="26">
        <f>IFERROR(ABS(N342-L342)/ABS(L342-M342),"")</f>
        <v/>
      </c>
      <c r="W342" s="29" t="n"/>
      <c r="X342" s="29" t="n"/>
      <c r="Y342" s="29" t="n"/>
      <c r="Z342" s="29" t="n"/>
      <c r="AA342" s="29" t="n"/>
      <c r="AB342" s="29" t="n"/>
      <c r="AC342" s="29" t="n"/>
      <c r="AD342" s="42">
        <f>IF(OR(L342="",Q342="",R342=""),"",IF(H342="Long",(Q342-L342)*R342*IF(S342="",1,S342),(L342-Q342)*R342*IF(S342="",1,S342)))</f>
        <v/>
      </c>
      <c r="AE342" s="45" t="n"/>
      <c r="AF342" s="45" t="n"/>
      <c r="AG342" s="42">
        <f>IF(AD342="","",AD342-IF(AE342="",0,AE342)-IF(AF342="",0,AF342))</f>
        <v/>
      </c>
      <c r="AH342" s="26">
        <f>IFERROR(AG342/U342,"")</f>
        <v/>
      </c>
      <c r="AI342" s="29" t="n"/>
      <c r="AJ342" s="29" t="n"/>
      <c r="AK342" s="29" t="n"/>
      <c r="AL342" s="29" t="n"/>
    </row>
    <row r="343">
      <c r="A343" s="20">
        <f>IF(B343="","","TR-"&amp;TEXT(ROW()-2,"0000"))</f>
        <v/>
      </c>
      <c r="B343" s="39" t="n"/>
      <c r="C343" s="40" t="n"/>
      <c r="D343" s="40" t="n"/>
      <c r="E343" s="23" t="n"/>
      <c r="F343" s="23" t="n"/>
      <c r="G343" s="23" t="n"/>
      <c r="H343" s="23" t="n"/>
      <c r="I343" s="23" t="n"/>
      <c r="J343" s="23" t="n"/>
      <c r="K343" s="23" t="n"/>
      <c r="L343" s="41" t="n"/>
      <c r="M343" s="41" t="n"/>
      <c r="N343" s="41" t="n"/>
      <c r="O343" s="41" t="n"/>
      <c r="P343" s="41" t="n"/>
      <c r="Q343" s="41" t="n"/>
      <c r="R343" s="23" t="n"/>
      <c r="S343" s="23" t="n"/>
      <c r="T343" s="42">
        <f>IF(OR(L343="",M343=""),"",IFERROR(Settings!$B$3*Settings!$B$5,0))</f>
        <v/>
      </c>
      <c r="U343" s="42">
        <f>IF(OR(L343="",M343="",R343=""),"",ABS(L343-M343)*R343*IF(S343="",1,S343))</f>
        <v/>
      </c>
      <c r="V343" s="26">
        <f>IFERROR(ABS(N343-L343)/ABS(L343-M343),"")</f>
        <v/>
      </c>
      <c r="W343" s="23" t="n"/>
      <c r="X343" s="23" t="n"/>
      <c r="Y343" s="23" t="n"/>
      <c r="Z343" s="23" t="n"/>
      <c r="AA343" s="23" t="n"/>
      <c r="AB343" s="23" t="n"/>
      <c r="AC343" s="23" t="n"/>
      <c r="AD343" s="42">
        <f>IF(OR(L343="",Q343="",R343=""),"",IF(H343="Long",(Q343-L343)*R343*IF(S343="",1,S343),(L343-Q343)*R343*IF(S343="",1,S343)))</f>
        <v/>
      </c>
      <c r="AE343" s="41" t="n"/>
      <c r="AF343" s="41" t="n"/>
      <c r="AG343" s="42">
        <f>IF(AD343="","",AD343-IF(AE343="",0,AE343)-IF(AF343="",0,AF343))</f>
        <v/>
      </c>
      <c r="AH343" s="26">
        <f>IFERROR(AG343/U343,"")</f>
        <v/>
      </c>
      <c r="AI343" s="23" t="n"/>
      <c r="AJ343" s="23" t="n"/>
      <c r="AK343" s="23" t="n"/>
      <c r="AL343" s="23" t="n"/>
    </row>
    <row r="344">
      <c r="A344" s="20">
        <f>IF(B344="","","TR-"&amp;TEXT(ROW()-2,"0000"))</f>
        <v/>
      </c>
      <c r="B344" s="43" t="n"/>
      <c r="C344" s="44" t="n"/>
      <c r="D344" s="44" t="n"/>
      <c r="E344" s="29" t="n"/>
      <c r="F344" s="29" t="n"/>
      <c r="G344" s="29" t="n"/>
      <c r="H344" s="29" t="n"/>
      <c r="I344" s="29" t="n"/>
      <c r="J344" s="29" t="n"/>
      <c r="K344" s="29" t="n"/>
      <c r="L344" s="45" t="n"/>
      <c r="M344" s="45" t="n"/>
      <c r="N344" s="45" t="n"/>
      <c r="O344" s="45" t="n"/>
      <c r="P344" s="45" t="n"/>
      <c r="Q344" s="45" t="n"/>
      <c r="R344" s="29" t="n"/>
      <c r="S344" s="29" t="n"/>
      <c r="T344" s="42">
        <f>IF(OR(L344="",M344=""),"",IFERROR(Settings!$B$3*Settings!$B$5,0))</f>
        <v/>
      </c>
      <c r="U344" s="42">
        <f>IF(OR(L344="",M344="",R344=""),"",ABS(L344-M344)*R344*IF(S344="",1,S344))</f>
        <v/>
      </c>
      <c r="V344" s="26">
        <f>IFERROR(ABS(N344-L344)/ABS(L344-M344),"")</f>
        <v/>
      </c>
      <c r="W344" s="29" t="n"/>
      <c r="X344" s="29" t="n"/>
      <c r="Y344" s="29" t="n"/>
      <c r="Z344" s="29" t="n"/>
      <c r="AA344" s="29" t="n"/>
      <c r="AB344" s="29" t="n"/>
      <c r="AC344" s="29" t="n"/>
      <c r="AD344" s="42">
        <f>IF(OR(L344="",Q344="",R344=""),"",IF(H344="Long",(Q344-L344)*R344*IF(S344="",1,S344),(L344-Q344)*R344*IF(S344="",1,S344)))</f>
        <v/>
      </c>
      <c r="AE344" s="45" t="n"/>
      <c r="AF344" s="45" t="n"/>
      <c r="AG344" s="42">
        <f>IF(AD344="","",AD344-IF(AE344="",0,AE344)-IF(AF344="",0,AF344))</f>
        <v/>
      </c>
      <c r="AH344" s="26">
        <f>IFERROR(AG344/U344,"")</f>
        <v/>
      </c>
      <c r="AI344" s="29" t="n"/>
      <c r="AJ344" s="29" t="n"/>
      <c r="AK344" s="29" t="n"/>
      <c r="AL344" s="29" t="n"/>
    </row>
    <row r="345">
      <c r="A345" s="20">
        <f>IF(B345="","","TR-"&amp;TEXT(ROW()-2,"0000"))</f>
        <v/>
      </c>
      <c r="B345" s="39" t="n"/>
      <c r="C345" s="40" t="n"/>
      <c r="D345" s="40" t="n"/>
      <c r="E345" s="23" t="n"/>
      <c r="F345" s="23" t="n"/>
      <c r="G345" s="23" t="n"/>
      <c r="H345" s="23" t="n"/>
      <c r="I345" s="23" t="n"/>
      <c r="J345" s="23" t="n"/>
      <c r="K345" s="23" t="n"/>
      <c r="L345" s="41" t="n"/>
      <c r="M345" s="41" t="n"/>
      <c r="N345" s="41" t="n"/>
      <c r="O345" s="41" t="n"/>
      <c r="P345" s="41" t="n"/>
      <c r="Q345" s="41" t="n"/>
      <c r="R345" s="23" t="n"/>
      <c r="S345" s="23" t="n"/>
      <c r="T345" s="42">
        <f>IF(OR(L345="",M345=""),"",IFERROR(Settings!$B$3*Settings!$B$5,0))</f>
        <v/>
      </c>
      <c r="U345" s="42">
        <f>IF(OR(L345="",M345="",R345=""),"",ABS(L345-M345)*R345*IF(S345="",1,S345))</f>
        <v/>
      </c>
      <c r="V345" s="26">
        <f>IFERROR(ABS(N345-L345)/ABS(L345-M345),"")</f>
        <v/>
      </c>
      <c r="W345" s="23" t="n"/>
      <c r="X345" s="23" t="n"/>
      <c r="Y345" s="23" t="n"/>
      <c r="Z345" s="23" t="n"/>
      <c r="AA345" s="23" t="n"/>
      <c r="AB345" s="23" t="n"/>
      <c r="AC345" s="23" t="n"/>
      <c r="AD345" s="42">
        <f>IF(OR(L345="",Q345="",R345=""),"",IF(H345="Long",(Q345-L345)*R345*IF(S345="",1,S345),(L345-Q345)*R345*IF(S345="",1,S345)))</f>
        <v/>
      </c>
      <c r="AE345" s="41" t="n"/>
      <c r="AF345" s="41" t="n"/>
      <c r="AG345" s="42">
        <f>IF(AD345="","",AD345-IF(AE345="",0,AE345)-IF(AF345="",0,AF345))</f>
        <v/>
      </c>
      <c r="AH345" s="26">
        <f>IFERROR(AG345/U345,"")</f>
        <v/>
      </c>
      <c r="AI345" s="23" t="n"/>
      <c r="AJ345" s="23" t="n"/>
      <c r="AK345" s="23" t="n"/>
      <c r="AL345" s="23" t="n"/>
    </row>
    <row r="346">
      <c r="A346" s="20">
        <f>IF(B346="","","TR-"&amp;TEXT(ROW()-2,"0000"))</f>
        <v/>
      </c>
      <c r="B346" s="43" t="n"/>
      <c r="C346" s="44" t="n"/>
      <c r="D346" s="44" t="n"/>
      <c r="E346" s="29" t="n"/>
      <c r="F346" s="29" t="n"/>
      <c r="G346" s="29" t="n"/>
      <c r="H346" s="29" t="n"/>
      <c r="I346" s="29" t="n"/>
      <c r="J346" s="29" t="n"/>
      <c r="K346" s="29" t="n"/>
      <c r="L346" s="45" t="n"/>
      <c r="M346" s="45" t="n"/>
      <c r="N346" s="45" t="n"/>
      <c r="O346" s="45" t="n"/>
      <c r="P346" s="45" t="n"/>
      <c r="Q346" s="45" t="n"/>
      <c r="R346" s="29" t="n"/>
      <c r="S346" s="29" t="n"/>
      <c r="T346" s="42">
        <f>IF(OR(L346="",M346=""),"",IFERROR(Settings!$B$3*Settings!$B$5,0))</f>
        <v/>
      </c>
      <c r="U346" s="42">
        <f>IF(OR(L346="",M346="",R346=""),"",ABS(L346-M346)*R346*IF(S346="",1,S346))</f>
        <v/>
      </c>
      <c r="V346" s="26">
        <f>IFERROR(ABS(N346-L346)/ABS(L346-M346),"")</f>
        <v/>
      </c>
      <c r="W346" s="29" t="n"/>
      <c r="X346" s="29" t="n"/>
      <c r="Y346" s="29" t="n"/>
      <c r="Z346" s="29" t="n"/>
      <c r="AA346" s="29" t="n"/>
      <c r="AB346" s="29" t="n"/>
      <c r="AC346" s="29" t="n"/>
      <c r="AD346" s="42">
        <f>IF(OR(L346="",Q346="",R346=""),"",IF(H346="Long",(Q346-L346)*R346*IF(S346="",1,S346),(L346-Q346)*R346*IF(S346="",1,S346)))</f>
        <v/>
      </c>
      <c r="AE346" s="45" t="n"/>
      <c r="AF346" s="45" t="n"/>
      <c r="AG346" s="42">
        <f>IF(AD346="","",AD346-IF(AE346="",0,AE346)-IF(AF346="",0,AF346))</f>
        <v/>
      </c>
      <c r="AH346" s="26">
        <f>IFERROR(AG346/U346,"")</f>
        <v/>
      </c>
      <c r="AI346" s="29" t="n"/>
      <c r="AJ346" s="29" t="n"/>
      <c r="AK346" s="29" t="n"/>
      <c r="AL346" s="29" t="n"/>
    </row>
    <row r="347">
      <c r="A347" s="20">
        <f>IF(B347="","","TR-"&amp;TEXT(ROW()-2,"0000"))</f>
        <v/>
      </c>
      <c r="B347" s="39" t="n"/>
      <c r="C347" s="40" t="n"/>
      <c r="D347" s="40" t="n"/>
      <c r="E347" s="23" t="n"/>
      <c r="F347" s="23" t="n"/>
      <c r="G347" s="23" t="n"/>
      <c r="H347" s="23" t="n"/>
      <c r="I347" s="23" t="n"/>
      <c r="J347" s="23" t="n"/>
      <c r="K347" s="23" t="n"/>
      <c r="L347" s="41" t="n"/>
      <c r="M347" s="41" t="n"/>
      <c r="N347" s="41" t="n"/>
      <c r="O347" s="41" t="n"/>
      <c r="P347" s="41" t="n"/>
      <c r="Q347" s="41" t="n"/>
      <c r="R347" s="23" t="n"/>
      <c r="S347" s="23" t="n"/>
      <c r="T347" s="42">
        <f>IF(OR(L347="",M347=""),"",IFERROR(Settings!$B$3*Settings!$B$5,0))</f>
        <v/>
      </c>
      <c r="U347" s="42">
        <f>IF(OR(L347="",M347="",R347=""),"",ABS(L347-M347)*R347*IF(S347="",1,S347))</f>
        <v/>
      </c>
      <c r="V347" s="26">
        <f>IFERROR(ABS(N347-L347)/ABS(L347-M347),"")</f>
        <v/>
      </c>
      <c r="W347" s="23" t="n"/>
      <c r="X347" s="23" t="n"/>
      <c r="Y347" s="23" t="n"/>
      <c r="Z347" s="23" t="n"/>
      <c r="AA347" s="23" t="n"/>
      <c r="AB347" s="23" t="n"/>
      <c r="AC347" s="23" t="n"/>
      <c r="AD347" s="42">
        <f>IF(OR(L347="",Q347="",R347=""),"",IF(H347="Long",(Q347-L347)*R347*IF(S347="",1,S347),(L347-Q347)*R347*IF(S347="",1,S347)))</f>
        <v/>
      </c>
      <c r="AE347" s="41" t="n"/>
      <c r="AF347" s="41" t="n"/>
      <c r="AG347" s="42">
        <f>IF(AD347="","",AD347-IF(AE347="",0,AE347)-IF(AF347="",0,AF347))</f>
        <v/>
      </c>
      <c r="AH347" s="26">
        <f>IFERROR(AG347/U347,"")</f>
        <v/>
      </c>
      <c r="AI347" s="23" t="n"/>
      <c r="AJ347" s="23" t="n"/>
      <c r="AK347" s="23" t="n"/>
      <c r="AL347" s="23" t="n"/>
    </row>
    <row r="348">
      <c r="A348" s="20">
        <f>IF(B348="","","TR-"&amp;TEXT(ROW()-2,"0000"))</f>
        <v/>
      </c>
      <c r="B348" s="43" t="n"/>
      <c r="C348" s="44" t="n"/>
      <c r="D348" s="44" t="n"/>
      <c r="E348" s="29" t="n"/>
      <c r="F348" s="29" t="n"/>
      <c r="G348" s="29" t="n"/>
      <c r="H348" s="29" t="n"/>
      <c r="I348" s="29" t="n"/>
      <c r="J348" s="29" t="n"/>
      <c r="K348" s="29" t="n"/>
      <c r="L348" s="45" t="n"/>
      <c r="M348" s="45" t="n"/>
      <c r="N348" s="45" t="n"/>
      <c r="O348" s="45" t="n"/>
      <c r="P348" s="45" t="n"/>
      <c r="Q348" s="45" t="n"/>
      <c r="R348" s="29" t="n"/>
      <c r="S348" s="29" t="n"/>
      <c r="T348" s="42">
        <f>IF(OR(L348="",M348=""),"",IFERROR(Settings!$B$3*Settings!$B$5,0))</f>
        <v/>
      </c>
      <c r="U348" s="42">
        <f>IF(OR(L348="",M348="",R348=""),"",ABS(L348-M348)*R348*IF(S348="",1,S348))</f>
        <v/>
      </c>
      <c r="V348" s="26">
        <f>IFERROR(ABS(N348-L348)/ABS(L348-M348),"")</f>
        <v/>
      </c>
      <c r="W348" s="29" t="n"/>
      <c r="X348" s="29" t="n"/>
      <c r="Y348" s="29" t="n"/>
      <c r="Z348" s="29" t="n"/>
      <c r="AA348" s="29" t="n"/>
      <c r="AB348" s="29" t="n"/>
      <c r="AC348" s="29" t="n"/>
      <c r="AD348" s="42">
        <f>IF(OR(L348="",Q348="",R348=""),"",IF(H348="Long",(Q348-L348)*R348*IF(S348="",1,S348),(L348-Q348)*R348*IF(S348="",1,S348)))</f>
        <v/>
      </c>
      <c r="AE348" s="45" t="n"/>
      <c r="AF348" s="45" t="n"/>
      <c r="AG348" s="42">
        <f>IF(AD348="","",AD348-IF(AE348="",0,AE348)-IF(AF348="",0,AF348))</f>
        <v/>
      </c>
      <c r="AH348" s="26">
        <f>IFERROR(AG348/U348,"")</f>
        <v/>
      </c>
      <c r="AI348" s="29" t="n"/>
      <c r="AJ348" s="29" t="n"/>
      <c r="AK348" s="29" t="n"/>
      <c r="AL348" s="29" t="n"/>
    </row>
    <row r="349">
      <c r="A349" s="20">
        <f>IF(B349="","","TR-"&amp;TEXT(ROW()-2,"0000"))</f>
        <v/>
      </c>
      <c r="B349" s="39" t="n"/>
      <c r="C349" s="40" t="n"/>
      <c r="D349" s="40" t="n"/>
      <c r="E349" s="23" t="n"/>
      <c r="F349" s="23" t="n"/>
      <c r="G349" s="23" t="n"/>
      <c r="H349" s="23" t="n"/>
      <c r="I349" s="23" t="n"/>
      <c r="J349" s="23" t="n"/>
      <c r="K349" s="23" t="n"/>
      <c r="L349" s="41" t="n"/>
      <c r="M349" s="41" t="n"/>
      <c r="N349" s="41" t="n"/>
      <c r="O349" s="41" t="n"/>
      <c r="P349" s="41" t="n"/>
      <c r="Q349" s="41" t="n"/>
      <c r="R349" s="23" t="n"/>
      <c r="S349" s="23" t="n"/>
      <c r="T349" s="42">
        <f>IF(OR(L349="",M349=""),"",IFERROR(Settings!$B$3*Settings!$B$5,0))</f>
        <v/>
      </c>
      <c r="U349" s="42">
        <f>IF(OR(L349="",M349="",R349=""),"",ABS(L349-M349)*R349*IF(S349="",1,S349))</f>
        <v/>
      </c>
      <c r="V349" s="26">
        <f>IFERROR(ABS(N349-L349)/ABS(L349-M349),"")</f>
        <v/>
      </c>
      <c r="W349" s="23" t="n"/>
      <c r="X349" s="23" t="n"/>
      <c r="Y349" s="23" t="n"/>
      <c r="Z349" s="23" t="n"/>
      <c r="AA349" s="23" t="n"/>
      <c r="AB349" s="23" t="n"/>
      <c r="AC349" s="23" t="n"/>
      <c r="AD349" s="42">
        <f>IF(OR(L349="",Q349="",R349=""),"",IF(H349="Long",(Q349-L349)*R349*IF(S349="",1,S349),(L349-Q349)*R349*IF(S349="",1,S349)))</f>
        <v/>
      </c>
      <c r="AE349" s="41" t="n"/>
      <c r="AF349" s="41" t="n"/>
      <c r="AG349" s="42">
        <f>IF(AD349="","",AD349-IF(AE349="",0,AE349)-IF(AF349="",0,AF349))</f>
        <v/>
      </c>
      <c r="AH349" s="26">
        <f>IFERROR(AG349/U349,"")</f>
        <v/>
      </c>
      <c r="AI349" s="23" t="n"/>
      <c r="AJ349" s="23" t="n"/>
      <c r="AK349" s="23" t="n"/>
      <c r="AL349" s="23" t="n"/>
    </row>
    <row r="350">
      <c r="A350" s="20">
        <f>IF(B350="","","TR-"&amp;TEXT(ROW()-2,"0000"))</f>
        <v/>
      </c>
      <c r="B350" s="43" t="n"/>
      <c r="C350" s="44" t="n"/>
      <c r="D350" s="44" t="n"/>
      <c r="E350" s="29" t="n"/>
      <c r="F350" s="29" t="n"/>
      <c r="G350" s="29" t="n"/>
      <c r="H350" s="29" t="n"/>
      <c r="I350" s="29" t="n"/>
      <c r="J350" s="29" t="n"/>
      <c r="K350" s="29" t="n"/>
      <c r="L350" s="45" t="n"/>
      <c r="M350" s="45" t="n"/>
      <c r="N350" s="45" t="n"/>
      <c r="O350" s="45" t="n"/>
      <c r="P350" s="45" t="n"/>
      <c r="Q350" s="45" t="n"/>
      <c r="R350" s="29" t="n"/>
      <c r="S350" s="29" t="n"/>
      <c r="T350" s="42">
        <f>IF(OR(L350="",M350=""),"",IFERROR(Settings!$B$3*Settings!$B$5,0))</f>
        <v/>
      </c>
      <c r="U350" s="42">
        <f>IF(OR(L350="",M350="",R350=""),"",ABS(L350-M350)*R350*IF(S350="",1,S350))</f>
        <v/>
      </c>
      <c r="V350" s="26">
        <f>IFERROR(ABS(N350-L350)/ABS(L350-M350),"")</f>
        <v/>
      </c>
      <c r="W350" s="29" t="n"/>
      <c r="X350" s="29" t="n"/>
      <c r="Y350" s="29" t="n"/>
      <c r="Z350" s="29" t="n"/>
      <c r="AA350" s="29" t="n"/>
      <c r="AB350" s="29" t="n"/>
      <c r="AC350" s="29" t="n"/>
      <c r="AD350" s="42">
        <f>IF(OR(L350="",Q350="",R350=""),"",IF(H350="Long",(Q350-L350)*R350*IF(S350="",1,S350),(L350-Q350)*R350*IF(S350="",1,S350)))</f>
        <v/>
      </c>
      <c r="AE350" s="45" t="n"/>
      <c r="AF350" s="45" t="n"/>
      <c r="AG350" s="42">
        <f>IF(AD350="","",AD350-IF(AE350="",0,AE350)-IF(AF350="",0,AF350))</f>
        <v/>
      </c>
      <c r="AH350" s="26">
        <f>IFERROR(AG350/U350,"")</f>
        <v/>
      </c>
      <c r="AI350" s="29" t="n"/>
      <c r="AJ350" s="29" t="n"/>
      <c r="AK350" s="29" t="n"/>
      <c r="AL350" s="29" t="n"/>
    </row>
    <row r="351">
      <c r="A351" s="20">
        <f>IF(B351="","","TR-"&amp;TEXT(ROW()-2,"0000"))</f>
        <v/>
      </c>
      <c r="B351" s="39" t="n"/>
      <c r="C351" s="40" t="n"/>
      <c r="D351" s="40" t="n"/>
      <c r="E351" s="23" t="n"/>
      <c r="F351" s="23" t="n"/>
      <c r="G351" s="23" t="n"/>
      <c r="H351" s="23" t="n"/>
      <c r="I351" s="23" t="n"/>
      <c r="J351" s="23" t="n"/>
      <c r="K351" s="23" t="n"/>
      <c r="L351" s="41" t="n"/>
      <c r="M351" s="41" t="n"/>
      <c r="N351" s="41" t="n"/>
      <c r="O351" s="41" t="n"/>
      <c r="P351" s="41" t="n"/>
      <c r="Q351" s="41" t="n"/>
      <c r="R351" s="23" t="n"/>
      <c r="S351" s="23" t="n"/>
      <c r="T351" s="42">
        <f>IF(OR(L351="",M351=""),"",IFERROR(Settings!$B$3*Settings!$B$5,0))</f>
        <v/>
      </c>
      <c r="U351" s="42">
        <f>IF(OR(L351="",M351="",R351=""),"",ABS(L351-M351)*R351*IF(S351="",1,S351))</f>
        <v/>
      </c>
      <c r="V351" s="26">
        <f>IFERROR(ABS(N351-L351)/ABS(L351-M351),"")</f>
        <v/>
      </c>
      <c r="W351" s="23" t="n"/>
      <c r="X351" s="23" t="n"/>
      <c r="Y351" s="23" t="n"/>
      <c r="Z351" s="23" t="n"/>
      <c r="AA351" s="23" t="n"/>
      <c r="AB351" s="23" t="n"/>
      <c r="AC351" s="23" t="n"/>
      <c r="AD351" s="42">
        <f>IF(OR(L351="",Q351="",R351=""),"",IF(H351="Long",(Q351-L351)*R351*IF(S351="",1,S351),(L351-Q351)*R351*IF(S351="",1,S351)))</f>
        <v/>
      </c>
      <c r="AE351" s="41" t="n"/>
      <c r="AF351" s="41" t="n"/>
      <c r="AG351" s="42">
        <f>IF(AD351="","",AD351-IF(AE351="",0,AE351)-IF(AF351="",0,AF351))</f>
        <v/>
      </c>
      <c r="AH351" s="26">
        <f>IFERROR(AG351/U351,"")</f>
        <v/>
      </c>
      <c r="AI351" s="23" t="n"/>
      <c r="AJ351" s="23" t="n"/>
      <c r="AK351" s="23" t="n"/>
      <c r="AL351" s="23" t="n"/>
    </row>
    <row r="352">
      <c r="A352" s="20">
        <f>IF(B352="","","TR-"&amp;TEXT(ROW()-2,"0000"))</f>
        <v/>
      </c>
      <c r="B352" s="43" t="n"/>
      <c r="C352" s="44" t="n"/>
      <c r="D352" s="44" t="n"/>
      <c r="E352" s="29" t="n"/>
      <c r="F352" s="29" t="n"/>
      <c r="G352" s="29" t="n"/>
      <c r="H352" s="29" t="n"/>
      <c r="I352" s="29" t="n"/>
      <c r="J352" s="29" t="n"/>
      <c r="K352" s="29" t="n"/>
      <c r="L352" s="45" t="n"/>
      <c r="M352" s="45" t="n"/>
      <c r="N352" s="45" t="n"/>
      <c r="O352" s="45" t="n"/>
      <c r="P352" s="45" t="n"/>
      <c r="Q352" s="45" t="n"/>
      <c r="R352" s="29" t="n"/>
      <c r="S352" s="29" t="n"/>
      <c r="T352" s="42">
        <f>IF(OR(L352="",M352=""),"",IFERROR(Settings!$B$3*Settings!$B$5,0))</f>
        <v/>
      </c>
      <c r="U352" s="42">
        <f>IF(OR(L352="",M352="",R352=""),"",ABS(L352-M352)*R352*IF(S352="",1,S352))</f>
        <v/>
      </c>
      <c r="V352" s="26">
        <f>IFERROR(ABS(N352-L352)/ABS(L352-M352),"")</f>
        <v/>
      </c>
      <c r="W352" s="29" t="n"/>
      <c r="X352" s="29" t="n"/>
      <c r="Y352" s="29" t="n"/>
      <c r="Z352" s="29" t="n"/>
      <c r="AA352" s="29" t="n"/>
      <c r="AB352" s="29" t="n"/>
      <c r="AC352" s="29" t="n"/>
      <c r="AD352" s="42">
        <f>IF(OR(L352="",Q352="",R352=""),"",IF(H352="Long",(Q352-L352)*R352*IF(S352="",1,S352),(L352-Q352)*R352*IF(S352="",1,S352)))</f>
        <v/>
      </c>
      <c r="AE352" s="45" t="n"/>
      <c r="AF352" s="45" t="n"/>
      <c r="AG352" s="42">
        <f>IF(AD352="","",AD352-IF(AE352="",0,AE352)-IF(AF352="",0,AF352))</f>
        <v/>
      </c>
      <c r="AH352" s="26">
        <f>IFERROR(AG352/U352,"")</f>
        <v/>
      </c>
      <c r="AI352" s="29" t="n"/>
      <c r="AJ352" s="29" t="n"/>
      <c r="AK352" s="29" t="n"/>
      <c r="AL352" s="29" t="n"/>
    </row>
    <row r="353">
      <c r="A353" s="20">
        <f>IF(B353="","","TR-"&amp;TEXT(ROW()-2,"0000"))</f>
        <v/>
      </c>
      <c r="B353" s="39" t="n"/>
      <c r="C353" s="40" t="n"/>
      <c r="D353" s="40" t="n"/>
      <c r="E353" s="23" t="n"/>
      <c r="F353" s="23" t="n"/>
      <c r="G353" s="23" t="n"/>
      <c r="H353" s="23" t="n"/>
      <c r="I353" s="23" t="n"/>
      <c r="J353" s="23" t="n"/>
      <c r="K353" s="23" t="n"/>
      <c r="L353" s="41" t="n"/>
      <c r="M353" s="41" t="n"/>
      <c r="N353" s="41" t="n"/>
      <c r="O353" s="41" t="n"/>
      <c r="P353" s="41" t="n"/>
      <c r="Q353" s="41" t="n"/>
      <c r="R353" s="23" t="n"/>
      <c r="S353" s="23" t="n"/>
      <c r="T353" s="42">
        <f>IF(OR(L353="",M353=""),"",IFERROR(Settings!$B$3*Settings!$B$5,0))</f>
        <v/>
      </c>
      <c r="U353" s="42">
        <f>IF(OR(L353="",M353="",R353=""),"",ABS(L353-M353)*R353*IF(S353="",1,S353))</f>
        <v/>
      </c>
      <c r="V353" s="26">
        <f>IFERROR(ABS(N353-L353)/ABS(L353-M353),"")</f>
        <v/>
      </c>
      <c r="W353" s="23" t="n"/>
      <c r="X353" s="23" t="n"/>
      <c r="Y353" s="23" t="n"/>
      <c r="Z353" s="23" t="n"/>
      <c r="AA353" s="23" t="n"/>
      <c r="AB353" s="23" t="n"/>
      <c r="AC353" s="23" t="n"/>
      <c r="AD353" s="42">
        <f>IF(OR(L353="",Q353="",R353=""),"",IF(H353="Long",(Q353-L353)*R353*IF(S353="",1,S353),(L353-Q353)*R353*IF(S353="",1,S353)))</f>
        <v/>
      </c>
      <c r="AE353" s="41" t="n"/>
      <c r="AF353" s="41" t="n"/>
      <c r="AG353" s="42">
        <f>IF(AD353="","",AD353-IF(AE353="",0,AE353)-IF(AF353="",0,AF353))</f>
        <v/>
      </c>
      <c r="AH353" s="26">
        <f>IFERROR(AG353/U353,"")</f>
        <v/>
      </c>
      <c r="AI353" s="23" t="n"/>
      <c r="AJ353" s="23" t="n"/>
      <c r="AK353" s="23" t="n"/>
      <c r="AL353" s="23" t="n"/>
    </row>
    <row r="354">
      <c r="A354" s="20">
        <f>IF(B354="","","TR-"&amp;TEXT(ROW()-2,"0000"))</f>
        <v/>
      </c>
      <c r="B354" s="43" t="n"/>
      <c r="C354" s="44" t="n"/>
      <c r="D354" s="44" t="n"/>
      <c r="E354" s="29" t="n"/>
      <c r="F354" s="29" t="n"/>
      <c r="G354" s="29" t="n"/>
      <c r="H354" s="29" t="n"/>
      <c r="I354" s="29" t="n"/>
      <c r="J354" s="29" t="n"/>
      <c r="K354" s="29" t="n"/>
      <c r="L354" s="45" t="n"/>
      <c r="M354" s="45" t="n"/>
      <c r="N354" s="45" t="n"/>
      <c r="O354" s="45" t="n"/>
      <c r="P354" s="45" t="n"/>
      <c r="Q354" s="45" t="n"/>
      <c r="R354" s="29" t="n"/>
      <c r="S354" s="29" t="n"/>
      <c r="T354" s="42">
        <f>IF(OR(L354="",M354=""),"",IFERROR(Settings!$B$3*Settings!$B$5,0))</f>
        <v/>
      </c>
      <c r="U354" s="42">
        <f>IF(OR(L354="",M354="",R354=""),"",ABS(L354-M354)*R354*IF(S354="",1,S354))</f>
        <v/>
      </c>
      <c r="V354" s="26">
        <f>IFERROR(ABS(N354-L354)/ABS(L354-M354),"")</f>
        <v/>
      </c>
      <c r="W354" s="29" t="n"/>
      <c r="X354" s="29" t="n"/>
      <c r="Y354" s="29" t="n"/>
      <c r="Z354" s="29" t="n"/>
      <c r="AA354" s="29" t="n"/>
      <c r="AB354" s="29" t="n"/>
      <c r="AC354" s="29" t="n"/>
      <c r="AD354" s="42">
        <f>IF(OR(L354="",Q354="",R354=""),"",IF(H354="Long",(Q354-L354)*R354*IF(S354="",1,S354),(L354-Q354)*R354*IF(S354="",1,S354)))</f>
        <v/>
      </c>
      <c r="AE354" s="45" t="n"/>
      <c r="AF354" s="45" t="n"/>
      <c r="AG354" s="42">
        <f>IF(AD354="","",AD354-IF(AE354="",0,AE354)-IF(AF354="",0,AF354))</f>
        <v/>
      </c>
      <c r="AH354" s="26">
        <f>IFERROR(AG354/U354,"")</f>
        <v/>
      </c>
      <c r="AI354" s="29" t="n"/>
      <c r="AJ354" s="29" t="n"/>
      <c r="AK354" s="29" t="n"/>
      <c r="AL354" s="29" t="n"/>
    </row>
    <row r="355">
      <c r="A355" s="20">
        <f>IF(B355="","","TR-"&amp;TEXT(ROW()-2,"0000"))</f>
        <v/>
      </c>
      <c r="B355" s="39" t="n"/>
      <c r="C355" s="40" t="n"/>
      <c r="D355" s="40" t="n"/>
      <c r="E355" s="23" t="n"/>
      <c r="F355" s="23" t="n"/>
      <c r="G355" s="23" t="n"/>
      <c r="H355" s="23" t="n"/>
      <c r="I355" s="23" t="n"/>
      <c r="J355" s="23" t="n"/>
      <c r="K355" s="23" t="n"/>
      <c r="L355" s="41" t="n"/>
      <c r="M355" s="41" t="n"/>
      <c r="N355" s="41" t="n"/>
      <c r="O355" s="41" t="n"/>
      <c r="P355" s="41" t="n"/>
      <c r="Q355" s="41" t="n"/>
      <c r="R355" s="23" t="n"/>
      <c r="S355" s="23" t="n"/>
      <c r="T355" s="42">
        <f>IF(OR(L355="",M355=""),"",IFERROR(Settings!$B$3*Settings!$B$5,0))</f>
        <v/>
      </c>
      <c r="U355" s="42">
        <f>IF(OR(L355="",M355="",R355=""),"",ABS(L355-M355)*R355*IF(S355="",1,S355))</f>
        <v/>
      </c>
      <c r="V355" s="26">
        <f>IFERROR(ABS(N355-L355)/ABS(L355-M355),"")</f>
        <v/>
      </c>
      <c r="W355" s="23" t="n"/>
      <c r="X355" s="23" t="n"/>
      <c r="Y355" s="23" t="n"/>
      <c r="Z355" s="23" t="n"/>
      <c r="AA355" s="23" t="n"/>
      <c r="AB355" s="23" t="n"/>
      <c r="AC355" s="23" t="n"/>
      <c r="AD355" s="42">
        <f>IF(OR(L355="",Q355="",R355=""),"",IF(H355="Long",(Q355-L355)*R355*IF(S355="",1,S355),(L355-Q355)*R355*IF(S355="",1,S355)))</f>
        <v/>
      </c>
      <c r="AE355" s="41" t="n"/>
      <c r="AF355" s="41" t="n"/>
      <c r="AG355" s="42">
        <f>IF(AD355="","",AD355-IF(AE355="",0,AE355)-IF(AF355="",0,AF355))</f>
        <v/>
      </c>
      <c r="AH355" s="26">
        <f>IFERROR(AG355/U355,"")</f>
        <v/>
      </c>
      <c r="AI355" s="23" t="n"/>
      <c r="AJ355" s="23" t="n"/>
      <c r="AK355" s="23" t="n"/>
      <c r="AL355" s="23" t="n"/>
    </row>
    <row r="356">
      <c r="A356" s="20">
        <f>IF(B356="","","TR-"&amp;TEXT(ROW()-2,"0000"))</f>
        <v/>
      </c>
      <c r="B356" s="43" t="n"/>
      <c r="C356" s="44" t="n"/>
      <c r="D356" s="44" t="n"/>
      <c r="E356" s="29" t="n"/>
      <c r="F356" s="29" t="n"/>
      <c r="G356" s="29" t="n"/>
      <c r="H356" s="29" t="n"/>
      <c r="I356" s="29" t="n"/>
      <c r="J356" s="29" t="n"/>
      <c r="K356" s="29" t="n"/>
      <c r="L356" s="45" t="n"/>
      <c r="M356" s="45" t="n"/>
      <c r="N356" s="45" t="n"/>
      <c r="O356" s="45" t="n"/>
      <c r="P356" s="45" t="n"/>
      <c r="Q356" s="45" t="n"/>
      <c r="R356" s="29" t="n"/>
      <c r="S356" s="29" t="n"/>
      <c r="T356" s="42">
        <f>IF(OR(L356="",M356=""),"",IFERROR(Settings!$B$3*Settings!$B$5,0))</f>
        <v/>
      </c>
      <c r="U356" s="42">
        <f>IF(OR(L356="",M356="",R356=""),"",ABS(L356-M356)*R356*IF(S356="",1,S356))</f>
        <v/>
      </c>
      <c r="V356" s="26">
        <f>IFERROR(ABS(N356-L356)/ABS(L356-M356),"")</f>
        <v/>
      </c>
      <c r="W356" s="29" t="n"/>
      <c r="X356" s="29" t="n"/>
      <c r="Y356" s="29" t="n"/>
      <c r="Z356" s="29" t="n"/>
      <c r="AA356" s="29" t="n"/>
      <c r="AB356" s="29" t="n"/>
      <c r="AC356" s="29" t="n"/>
      <c r="AD356" s="42">
        <f>IF(OR(L356="",Q356="",R356=""),"",IF(H356="Long",(Q356-L356)*R356*IF(S356="",1,S356),(L356-Q356)*R356*IF(S356="",1,S356)))</f>
        <v/>
      </c>
      <c r="AE356" s="45" t="n"/>
      <c r="AF356" s="45" t="n"/>
      <c r="AG356" s="42">
        <f>IF(AD356="","",AD356-IF(AE356="",0,AE356)-IF(AF356="",0,AF356))</f>
        <v/>
      </c>
      <c r="AH356" s="26">
        <f>IFERROR(AG356/U356,"")</f>
        <v/>
      </c>
      <c r="AI356" s="29" t="n"/>
      <c r="AJ356" s="29" t="n"/>
      <c r="AK356" s="29" t="n"/>
      <c r="AL356" s="29" t="n"/>
    </row>
    <row r="357">
      <c r="A357" s="20">
        <f>IF(B357="","","TR-"&amp;TEXT(ROW()-2,"0000"))</f>
        <v/>
      </c>
      <c r="B357" s="39" t="n"/>
      <c r="C357" s="40" t="n"/>
      <c r="D357" s="40" t="n"/>
      <c r="E357" s="23" t="n"/>
      <c r="F357" s="23" t="n"/>
      <c r="G357" s="23" t="n"/>
      <c r="H357" s="23" t="n"/>
      <c r="I357" s="23" t="n"/>
      <c r="J357" s="23" t="n"/>
      <c r="K357" s="23" t="n"/>
      <c r="L357" s="41" t="n"/>
      <c r="M357" s="41" t="n"/>
      <c r="N357" s="41" t="n"/>
      <c r="O357" s="41" t="n"/>
      <c r="P357" s="41" t="n"/>
      <c r="Q357" s="41" t="n"/>
      <c r="R357" s="23" t="n"/>
      <c r="S357" s="23" t="n"/>
      <c r="T357" s="42">
        <f>IF(OR(L357="",M357=""),"",IFERROR(Settings!$B$3*Settings!$B$5,0))</f>
        <v/>
      </c>
      <c r="U357" s="42">
        <f>IF(OR(L357="",M357="",R357=""),"",ABS(L357-M357)*R357*IF(S357="",1,S357))</f>
        <v/>
      </c>
      <c r="V357" s="26">
        <f>IFERROR(ABS(N357-L357)/ABS(L357-M357),"")</f>
        <v/>
      </c>
      <c r="W357" s="23" t="n"/>
      <c r="X357" s="23" t="n"/>
      <c r="Y357" s="23" t="n"/>
      <c r="Z357" s="23" t="n"/>
      <c r="AA357" s="23" t="n"/>
      <c r="AB357" s="23" t="n"/>
      <c r="AC357" s="23" t="n"/>
      <c r="AD357" s="42">
        <f>IF(OR(L357="",Q357="",R357=""),"",IF(H357="Long",(Q357-L357)*R357*IF(S357="",1,S357),(L357-Q357)*R357*IF(S357="",1,S357)))</f>
        <v/>
      </c>
      <c r="AE357" s="41" t="n"/>
      <c r="AF357" s="41" t="n"/>
      <c r="AG357" s="42">
        <f>IF(AD357="","",AD357-IF(AE357="",0,AE357)-IF(AF357="",0,AF357))</f>
        <v/>
      </c>
      <c r="AH357" s="26">
        <f>IFERROR(AG357/U357,"")</f>
        <v/>
      </c>
      <c r="AI357" s="23" t="n"/>
      <c r="AJ357" s="23" t="n"/>
      <c r="AK357" s="23" t="n"/>
      <c r="AL357" s="23" t="n"/>
    </row>
    <row r="358">
      <c r="A358" s="20">
        <f>IF(B358="","","TR-"&amp;TEXT(ROW()-2,"0000"))</f>
        <v/>
      </c>
      <c r="B358" s="43" t="n"/>
      <c r="C358" s="44" t="n"/>
      <c r="D358" s="44" t="n"/>
      <c r="E358" s="29" t="n"/>
      <c r="F358" s="29" t="n"/>
      <c r="G358" s="29" t="n"/>
      <c r="H358" s="29" t="n"/>
      <c r="I358" s="29" t="n"/>
      <c r="J358" s="29" t="n"/>
      <c r="K358" s="29" t="n"/>
      <c r="L358" s="45" t="n"/>
      <c r="M358" s="45" t="n"/>
      <c r="N358" s="45" t="n"/>
      <c r="O358" s="45" t="n"/>
      <c r="P358" s="45" t="n"/>
      <c r="Q358" s="45" t="n"/>
      <c r="R358" s="29" t="n"/>
      <c r="S358" s="29" t="n"/>
      <c r="T358" s="42">
        <f>IF(OR(L358="",M358=""),"",IFERROR(Settings!$B$3*Settings!$B$5,0))</f>
        <v/>
      </c>
      <c r="U358" s="42">
        <f>IF(OR(L358="",M358="",R358=""),"",ABS(L358-M358)*R358*IF(S358="",1,S358))</f>
        <v/>
      </c>
      <c r="V358" s="26">
        <f>IFERROR(ABS(N358-L358)/ABS(L358-M358),"")</f>
        <v/>
      </c>
      <c r="W358" s="29" t="n"/>
      <c r="X358" s="29" t="n"/>
      <c r="Y358" s="29" t="n"/>
      <c r="Z358" s="29" t="n"/>
      <c r="AA358" s="29" t="n"/>
      <c r="AB358" s="29" t="n"/>
      <c r="AC358" s="29" t="n"/>
      <c r="AD358" s="42">
        <f>IF(OR(L358="",Q358="",R358=""),"",IF(H358="Long",(Q358-L358)*R358*IF(S358="",1,S358),(L358-Q358)*R358*IF(S358="",1,S358)))</f>
        <v/>
      </c>
      <c r="AE358" s="45" t="n"/>
      <c r="AF358" s="45" t="n"/>
      <c r="AG358" s="42">
        <f>IF(AD358="","",AD358-IF(AE358="",0,AE358)-IF(AF358="",0,AF358))</f>
        <v/>
      </c>
      <c r="AH358" s="26">
        <f>IFERROR(AG358/U358,"")</f>
        <v/>
      </c>
      <c r="AI358" s="29" t="n"/>
      <c r="AJ358" s="29" t="n"/>
      <c r="AK358" s="29" t="n"/>
      <c r="AL358" s="29" t="n"/>
    </row>
    <row r="359">
      <c r="A359" s="20">
        <f>IF(B359="","","TR-"&amp;TEXT(ROW()-2,"0000"))</f>
        <v/>
      </c>
      <c r="B359" s="39" t="n"/>
      <c r="C359" s="40" t="n"/>
      <c r="D359" s="40" t="n"/>
      <c r="E359" s="23" t="n"/>
      <c r="F359" s="23" t="n"/>
      <c r="G359" s="23" t="n"/>
      <c r="H359" s="23" t="n"/>
      <c r="I359" s="23" t="n"/>
      <c r="J359" s="23" t="n"/>
      <c r="K359" s="23" t="n"/>
      <c r="L359" s="41" t="n"/>
      <c r="M359" s="41" t="n"/>
      <c r="N359" s="41" t="n"/>
      <c r="O359" s="41" t="n"/>
      <c r="P359" s="41" t="n"/>
      <c r="Q359" s="41" t="n"/>
      <c r="R359" s="23" t="n"/>
      <c r="S359" s="23" t="n"/>
      <c r="T359" s="42">
        <f>IF(OR(L359="",M359=""),"",IFERROR(Settings!$B$3*Settings!$B$5,0))</f>
        <v/>
      </c>
      <c r="U359" s="42">
        <f>IF(OR(L359="",M359="",R359=""),"",ABS(L359-M359)*R359*IF(S359="",1,S359))</f>
        <v/>
      </c>
      <c r="V359" s="26">
        <f>IFERROR(ABS(N359-L359)/ABS(L359-M359),"")</f>
        <v/>
      </c>
      <c r="W359" s="23" t="n"/>
      <c r="X359" s="23" t="n"/>
      <c r="Y359" s="23" t="n"/>
      <c r="Z359" s="23" t="n"/>
      <c r="AA359" s="23" t="n"/>
      <c r="AB359" s="23" t="n"/>
      <c r="AC359" s="23" t="n"/>
      <c r="AD359" s="42">
        <f>IF(OR(L359="",Q359="",R359=""),"",IF(H359="Long",(Q359-L359)*R359*IF(S359="",1,S359),(L359-Q359)*R359*IF(S359="",1,S359)))</f>
        <v/>
      </c>
      <c r="AE359" s="41" t="n"/>
      <c r="AF359" s="41" t="n"/>
      <c r="AG359" s="42">
        <f>IF(AD359="","",AD359-IF(AE359="",0,AE359)-IF(AF359="",0,AF359))</f>
        <v/>
      </c>
      <c r="AH359" s="26">
        <f>IFERROR(AG359/U359,"")</f>
        <v/>
      </c>
      <c r="AI359" s="23" t="n"/>
      <c r="AJ359" s="23" t="n"/>
      <c r="AK359" s="23" t="n"/>
      <c r="AL359" s="23" t="n"/>
    </row>
    <row r="360">
      <c r="A360" s="20">
        <f>IF(B360="","","TR-"&amp;TEXT(ROW()-2,"0000"))</f>
        <v/>
      </c>
      <c r="B360" s="43" t="n"/>
      <c r="C360" s="44" t="n"/>
      <c r="D360" s="44" t="n"/>
      <c r="E360" s="29" t="n"/>
      <c r="F360" s="29" t="n"/>
      <c r="G360" s="29" t="n"/>
      <c r="H360" s="29" t="n"/>
      <c r="I360" s="29" t="n"/>
      <c r="J360" s="29" t="n"/>
      <c r="K360" s="29" t="n"/>
      <c r="L360" s="45" t="n"/>
      <c r="M360" s="45" t="n"/>
      <c r="N360" s="45" t="n"/>
      <c r="O360" s="45" t="n"/>
      <c r="P360" s="45" t="n"/>
      <c r="Q360" s="45" t="n"/>
      <c r="R360" s="29" t="n"/>
      <c r="S360" s="29" t="n"/>
      <c r="T360" s="42">
        <f>IF(OR(L360="",M360=""),"",IFERROR(Settings!$B$3*Settings!$B$5,0))</f>
        <v/>
      </c>
      <c r="U360" s="42">
        <f>IF(OR(L360="",M360="",R360=""),"",ABS(L360-M360)*R360*IF(S360="",1,S360))</f>
        <v/>
      </c>
      <c r="V360" s="26">
        <f>IFERROR(ABS(N360-L360)/ABS(L360-M360),"")</f>
        <v/>
      </c>
      <c r="W360" s="29" t="n"/>
      <c r="X360" s="29" t="n"/>
      <c r="Y360" s="29" t="n"/>
      <c r="Z360" s="29" t="n"/>
      <c r="AA360" s="29" t="n"/>
      <c r="AB360" s="29" t="n"/>
      <c r="AC360" s="29" t="n"/>
      <c r="AD360" s="42">
        <f>IF(OR(L360="",Q360="",R360=""),"",IF(H360="Long",(Q360-L360)*R360*IF(S360="",1,S360),(L360-Q360)*R360*IF(S360="",1,S360)))</f>
        <v/>
      </c>
      <c r="AE360" s="45" t="n"/>
      <c r="AF360" s="45" t="n"/>
      <c r="AG360" s="42">
        <f>IF(AD360="","",AD360-IF(AE360="",0,AE360)-IF(AF360="",0,AF360))</f>
        <v/>
      </c>
      <c r="AH360" s="26">
        <f>IFERROR(AG360/U360,"")</f>
        <v/>
      </c>
      <c r="AI360" s="29" t="n"/>
      <c r="AJ360" s="29" t="n"/>
      <c r="AK360" s="29" t="n"/>
      <c r="AL360" s="29" t="n"/>
    </row>
    <row r="361">
      <c r="A361" s="20">
        <f>IF(B361="","","TR-"&amp;TEXT(ROW()-2,"0000"))</f>
        <v/>
      </c>
      <c r="B361" s="39" t="n"/>
      <c r="C361" s="40" t="n"/>
      <c r="D361" s="40" t="n"/>
      <c r="E361" s="23" t="n"/>
      <c r="F361" s="23" t="n"/>
      <c r="G361" s="23" t="n"/>
      <c r="H361" s="23" t="n"/>
      <c r="I361" s="23" t="n"/>
      <c r="J361" s="23" t="n"/>
      <c r="K361" s="23" t="n"/>
      <c r="L361" s="41" t="n"/>
      <c r="M361" s="41" t="n"/>
      <c r="N361" s="41" t="n"/>
      <c r="O361" s="41" t="n"/>
      <c r="P361" s="41" t="n"/>
      <c r="Q361" s="41" t="n"/>
      <c r="R361" s="23" t="n"/>
      <c r="S361" s="23" t="n"/>
      <c r="T361" s="42">
        <f>IF(OR(L361="",M361=""),"",IFERROR(Settings!$B$3*Settings!$B$5,0))</f>
        <v/>
      </c>
      <c r="U361" s="42">
        <f>IF(OR(L361="",M361="",R361=""),"",ABS(L361-M361)*R361*IF(S361="",1,S361))</f>
        <v/>
      </c>
      <c r="V361" s="26">
        <f>IFERROR(ABS(N361-L361)/ABS(L361-M361),"")</f>
        <v/>
      </c>
      <c r="W361" s="23" t="n"/>
      <c r="X361" s="23" t="n"/>
      <c r="Y361" s="23" t="n"/>
      <c r="Z361" s="23" t="n"/>
      <c r="AA361" s="23" t="n"/>
      <c r="AB361" s="23" t="n"/>
      <c r="AC361" s="23" t="n"/>
      <c r="AD361" s="42">
        <f>IF(OR(L361="",Q361="",R361=""),"",IF(H361="Long",(Q361-L361)*R361*IF(S361="",1,S361),(L361-Q361)*R361*IF(S361="",1,S361)))</f>
        <v/>
      </c>
      <c r="AE361" s="41" t="n"/>
      <c r="AF361" s="41" t="n"/>
      <c r="AG361" s="42">
        <f>IF(AD361="","",AD361-IF(AE361="",0,AE361)-IF(AF361="",0,AF361))</f>
        <v/>
      </c>
      <c r="AH361" s="26">
        <f>IFERROR(AG361/U361,"")</f>
        <v/>
      </c>
      <c r="AI361" s="23" t="n"/>
      <c r="AJ361" s="23" t="n"/>
      <c r="AK361" s="23" t="n"/>
      <c r="AL361" s="23" t="n"/>
    </row>
    <row r="362">
      <c r="A362" s="20">
        <f>IF(B362="","","TR-"&amp;TEXT(ROW()-2,"0000"))</f>
        <v/>
      </c>
      <c r="B362" s="43" t="n"/>
      <c r="C362" s="44" t="n"/>
      <c r="D362" s="44" t="n"/>
      <c r="E362" s="29" t="n"/>
      <c r="F362" s="29" t="n"/>
      <c r="G362" s="29" t="n"/>
      <c r="H362" s="29" t="n"/>
      <c r="I362" s="29" t="n"/>
      <c r="J362" s="29" t="n"/>
      <c r="K362" s="29" t="n"/>
      <c r="L362" s="45" t="n"/>
      <c r="M362" s="45" t="n"/>
      <c r="N362" s="45" t="n"/>
      <c r="O362" s="45" t="n"/>
      <c r="P362" s="45" t="n"/>
      <c r="Q362" s="45" t="n"/>
      <c r="R362" s="29" t="n"/>
      <c r="S362" s="29" t="n"/>
      <c r="T362" s="42">
        <f>IF(OR(L362="",M362=""),"",IFERROR(Settings!$B$3*Settings!$B$5,0))</f>
        <v/>
      </c>
      <c r="U362" s="42">
        <f>IF(OR(L362="",M362="",R362=""),"",ABS(L362-M362)*R362*IF(S362="",1,S362))</f>
        <v/>
      </c>
      <c r="V362" s="26">
        <f>IFERROR(ABS(N362-L362)/ABS(L362-M362),"")</f>
        <v/>
      </c>
      <c r="W362" s="29" t="n"/>
      <c r="X362" s="29" t="n"/>
      <c r="Y362" s="29" t="n"/>
      <c r="Z362" s="29" t="n"/>
      <c r="AA362" s="29" t="n"/>
      <c r="AB362" s="29" t="n"/>
      <c r="AC362" s="29" t="n"/>
      <c r="AD362" s="42">
        <f>IF(OR(L362="",Q362="",R362=""),"",IF(H362="Long",(Q362-L362)*R362*IF(S362="",1,S362),(L362-Q362)*R362*IF(S362="",1,S362)))</f>
        <v/>
      </c>
      <c r="AE362" s="45" t="n"/>
      <c r="AF362" s="45" t="n"/>
      <c r="AG362" s="42">
        <f>IF(AD362="","",AD362-IF(AE362="",0,AE362)-IF(AF362="",0,AF362))</f>
        <v/>
      </c>
      <c r="AH362" s="26">
        <f>IFERROR(AG362/U362,"")</f>
        <v/>
      </c>
      <c r="AI362" s="29" t="n"/>
      <c r="AJ362" s="29" t="n"/>
      <c r="AK362" s="29" t="n"/>
      <c r="AL362" s="29" t="n"/>
    </row>
    <row r="363">
      <c r="A363" s="20">
        <f>IF(B363="","","TR-"&amp;TEXT(ROW()-2,"0000"))</f>
        <v/>
      </c>
      <c r="B363" s="39" t="n"/>
      <c r="C363" s="40" t="n"/>
      <c r="D363" s="40" t="n"/>
      <c r="E363" s="23" t="n"/>
      <c r="F363" s="23" t="n"/>
      <c r="G363" s="23" t="n"/>
      <c r="H363" s="23" t="n"/>
      <c r="I363" s="23" t="n"/>
      <c r="J363" s="23" t="n"/>
      <c r="K363" s="23" t="n"/>
      <c r="L363" s="41" t="n"/>
      <c r="M363" s="41" t="n"/>
      <c r="N363" s="41" t="n"/>
      <c r="O363" s="41" t="n"/>
      <c r="P363" s="41" t="n"/>
      <c r="Q363" s="41" t="n"/>
      <c r="R363" s="23" t="n"/>
      <c r="S363" s="23" t="n"/>
      <c r="T363" s="42">
        <f>IF(OR(L363="",M363=""),"",IFERROR(Settings!$B$3*Settings!$B$5,0))</f>
        <v/>
      </c>
      <c r="U363" s="42">
        <f>IF(OR(L363="",M363="",R363=""),"",ABS(L363-M363)*R363*IF(S363="",1,S363))</f>
        <v/>
      </c>
      <c r="V363" s="26">
        <f>IFERROR(ABS(N363-L363)/ABS(L363-M363),"")</f>
        <v/>
      </c>
      <c r="W363" s="23" t="n"/>
      <c r="X363" s="23" t="n"/>
      <c r="Y363" s="23" t="n"/>
      <c r="Z363" s="23" t="n"/>
      <c r="AA363" s="23" t="n"/>
      <c r="AB363" s="23" t="n"/>
      <c r="AC363" s="23" t="n"/>
      <c r="AD363" s="42">
        <f>IF(OR(L363="",Q363="",R363=""),"",IF(H363="Long",(Q363-L363)*R363*IF(S363="",1,S363),(L363-Q363)*R363*IF(S363="",1,S363)))</f>
        <v/>
      </c>
      <c r="AE363" s="41" t="n"/>
      <c r="AF363" s="41" t="n"/>
      <c r="AG363" s="42">
        <f>IF(AD363="","",AD363-IF(AE363="",0,AE363)-IF(AF363="",0,AF363))</f>
        <v/>
      </c>
      <c r="AH363" s="26">
        <f>IFERROR(AG363/U363,"")</f>
        <v/>
      </c>
      <c r="AI363" s="23" t="n"/>
      <c r="AJ363" s="23" t="n"/>
      <c r="AK363" s="23" t="n"/>
      <c r="AL363" s="23" t="n"/>
    </row>
    <row r="364">
      <c r="A364" s="20">
        <f>IF(B364="","","TR-"&amp;TEXT(ROW()-2,"0000"))</f>
        <v/>
      </c>
      <c r="B364" s="43" t="n"/>
      <c r="C364" s="44" t="n"/>
      <c r="D364" s="44" t="n"/>
      <c r="E364" s="29" t="n"/>
      <c r="F364" s="29" t="n"/>
      <c r="G364" s="29" t="n"/>
      <c r="H364" s="29" t="n"/>
      <c r="I364" s="29" t="n"/>
      <c r="J364" s="29" t="n"/>
      <c r="K364" s="29" t="n"/>
      <c r="L364" s="45" t="n"/>
      <c r="M364" s="45" t="n"/>
      <c r="N364" s="45" t="n"/>
      <c r="O364" s="45" t="n"/>
      <c r="P364" s="45" t="n"/>
      <c r="Q364" s="45" t="n"/>
      <c r="R364" s="29" t="n"/>
      <c r="S364" s="29" t="n"/>
      <c r="T364" s="42">
        <f>IF(OR(L364="",M364=""),"",IFERROR(Settings!$B$3*Settings!$B$5,0))</f>
        <v/>
      </c>
      <c r="U364" s="42">
        <f>IF(OR(L364="",M364="",R364=""),"",ABS(L364-M364)*R364*IF(S364="",1,S364))</f>
        <v/>
      </c>
      <c r="V364" s="26">
        <f>IFERROR(ABS(N364-L364)/ABS(L364-M364),"")</f>
        <v/>
      </c>
      <c r="W364" s="29" t="n"/>
      <c r="X364" s="29" t="n"/>
      <c r="Y364" s="29" t="n"/>
      <c r="Z364" s="29" t="n"/>
      <c r="AA364" s="29" t="n"/>
      <c r="AB364" s="29" t="n"/>
      <c r="AC364" s="29" t="n"/>
      <c r="AD364" s="42">
        <f>IF(OR(L364="",Q364="",R364=""),"",IF(H364="Long",(Q364-L364)*R364*IF(S364="",1,S364),(L364-Q364)*R364*IF(S364="",1,S364)))</f>
        <v/>
      </c>
      <c r="AE364" s="45" t="n"/>
      <c r="AF364" s="45" t="n"/>
      <c r="AG364" s="42">
        <f>IF(AD364="","",AD364-IF(AE364="",0,AE364)-IF(AF364="",0,AF364))</f>
        <v/>
      </c>
      <c r="AH364" s="26">
        <f>IFERROR(AG364/U364,"")</f>
        <v/>
      </c>
      <c r="AI364" s="29" t="n"/>
      <c r="AJ364" s="29" t="n"/>
      <c r="AK364" s="29" t="n"/>
      <c r="AL364" s="29" t="n"/>
    </row>
    <row r="365">
      <c r="A365" s="20">
        <f>IF(B365="","","TR-"&amp;TEXT(ROW()-2,"0000"))</f>
        <v/>
      </c>
      <c r="B365" s="39" t="n"/>
      <c r="C365" s="40" t="n"/>
      <c r="D365" s="40" t="n"/>
      <c r="E365" s="23" t="n"/>
      <c r="F365" s="23" t="n"/>
      <c r="G365" s="23" t="n"/>
      <c r="H365" s="23" t="n"/>
      <c r="I365" s="23" t="n"/>
      <c r="J365" s="23" t="n"/>
      <c r="K365" s="23" t="n"/>
      <c r="L365" s="41" t="n"/>
      <c r="M365" s="41" t="n"/>
      <c r="N365" s="41" t="n"/>
      <c r="O365" s="41" t="n"/>
      <c r="P365" s="41" t="n"/>
      <c r="Q365" s="41" t="n"/>
      <c r="R365" s="23" t="n"/>
      <c r="S365" s="23" t="n"/>
      <c r="T365" s="42">
        <f>IF(OR(L365="",M365=""),"",IFERROR(Settings!$B$3*Settings!$B$5,0))</f>
        <v/>
      </c>
      <c r="U365" s="42">
        <f>IF(OR(L365="",M365="",R365=""),"",ABS(L365-M365)*R365*IF(S365="",1,S365))</f>
        <v/>
      </c>
      <c r="V365" s="26">
        <f>IFERROR(ABS(N365-L365)/ABS(L365-M365),"")</f>
        <v/>
      </c>
      <c r="W365" s="23" t="n"/>
      <c r="X365" s="23" t="n"/>
      <c r="Y365" s="23" t="n"/>
      <c r="Z365" s="23" t="n"/>
      <c r="AA365" s="23" t="n"/>
      <c r="AB365" s="23" t="n"/>
      <c r="AC365" s="23" t="n"/>
      <c r="AD365" s="42">
        <f>IF(OR(L365="",Q365="",R365=""),"",IF(H365="Long",(Q365-L365)*R365*IF(S365="",1,S365),(L365-Q365)*R365*IF(S365="",1,S365)))</f>
        <v/>
      </c>
      <c r="AE365" s="41" t="n"/>
      <c r="AF365" s="41" t="n"/>
      <c r="AG365" s="42">
        <f>IF(AD365="","",AD365-IF(AE365="",0,AE365)-IF(AF365="",0,AF365))</f>
        <v/>
      </c>
      <c r="AH365" s="26">
        <f>IFERROR(AG365/U365,"")</f>
        <v/>
      </c>
      <c r="AI365" s="23" t="n"/>
      <c r="AJ365" s="23" t="n"/>
      <c r="AK365" s="23" t="n"/>
      <c r="AL365" s="23" t="n"/>
    </row>
    <row r="366">
      <c r="A366" s="20">
        <f>IF(B366="","","TR-"&amp;TEXT(ROW()-2,"0000"))</f>
        <v/>
      </c>
      <c r="B366" s="43" t="n"/>
      <c r="C366" s="44" t="n"/>
      <c r="D366" s="44" t="n"/>
      <c r="E366" s="29" t="n"/>
      <c r="F366" s="29" t="n"/>
      <c r="G366" s="29" t="n"/>
      <c r="H366" s="29" t="n"/>
      <c r="I366" s="29" t="n"/>
      <c r="J366" s="29" t="n"/>
      <c r="K366" s="29" t="n"/>
      <c r="L366" s="45" t="n"/>
      <c r="M366" s="45" t="n"/>
      <c r="N366" s="45" t="n"/>
      <c r="O366" s="45" t="n"/>
      <c r="P366" s="45" t="n"/>
      <c r="Q366" s="45" t="n"/>
      <c r="R366" s="29" t="n"/>
      <c r="S366" s="29" t="n"/>
      <c r="T366" s="42">
        <f>IF(OR(L366="",M366=""),"",IFERROR(Settings!$B$3*Settings!$B$5,0))</f>
        <v/>
      </c>
      <c r="U366" s="42">
        <f>IF(OR(L366="",M366="",R366=""),"",ABS(L366-M366)*R366*IF(S366="",1,S366))</f>
        <v/>
      </c>
      <c r="V366" s="26">
        <f>IFERROR(ABS(N366-L366)/ABS(L366-M366),"")</f>
        <v/>
      </c>
      <c r="W366" s="29" t="n"/>
      <c r="X366" s="29" t="n"/>
      <c r="Y366" s="29" t="n"/>
      <c r="Z366" s="29" t="n"/>
      <c r="AA366" s="29" t="n"/>
      <c r="AB366" s="29" t="n"/>
      <c r="AC366" s="29" t="n"/>
      <c r="AD366" s="42">
        <f>IF(OR(L366="",Q366="",R366=""),"",IF(H366="Long",(Q366-L366)*R366*IF(S366="",1,S366),(L366-Q366)*R366*IF(S366="",1,S366)))</f>
        <v/>
      </c>
      <c r="AE366" s="45" t="n"/>
      <c r="AF366" s="45" t="n"/>
      <c r="AG366" s="42">
        <f>IF(AD366="","",AD366-IF(AE366="",0,AE366)-IF(AF366="",0,AF366))</f>
        <v/>
      </c>
      <c r="AH366" s="26">
        <f>IFERROR(AG366/U366,"")</f>
        <v/>
      </c>
      <c r="AI366" s="29" t="n"/>
      <c r="AJ366" s="29" t="n"/>
      <c r="AK366" s="29" t="n"/>
      <c r="AL366" s="29" t="n"/>
    </row>
    <row r="367">
      <c r="A367" s="20">
        <f>IF(B367="","","TR-"&amp;TEXT(ROW()-2,"0000"))</f>
        <v/>
      </c>
      <c r="B367" s="39" t="n"/>
      <c r="C367" s="40" t="n"/>
      <c r="D367" s="40" t="n"/>
      <c r="E367" s="23" t="n"/>
      <c r="F367" s="23" t="n"/>
      <c r="G367" s="23" t="n"/>
      <c r="H367" s="23" t="n"/>
      <c r="I367" s="23" t="n"/>
      <c r="J367" s="23" t="n"/>
      <c r="K367" s="23" t="n"/>
      <c r="L367" s="41" t="n"/>
      <c r="M367" s="41" t="n"/>
      <c r="N367" s="41" t="n"/>
      <c r="O367" s="41" t="n"/>
      <c r="P367" s="41" t="n"/>
      <c r="Q367" s="41" t="n"/>
      <c r="R367" s="23" t="n"/>
      <c r="S367" s="23" t="n"/>
      <c r="T367" s="42">
        <f>IF(OR(L367="",M367=""),"",IFERROR(Settings!$B$3*Settings!$B$5,0))</f>
        <v/>
      </c>
      <c r="U367" s="42">
        <f>IF(OR(L367="",M367="",R367=""),"",ABS(L367-M367)*R367*IF(S367="",1,S367))</f>
        <v/>
      </c>
      <c r="V367" s="26">
        <f>IFERROR(ABS(N367-L367)/ABS(L367-M367),"")</f>
        <v/>
      </c>
      <c r="W367" s="23" t="n"/>
      <c r="X367" s="23" t="n"/>
      <c r="Y367" s="23" t="n"/>
      <c r="Z367" s="23" t="n"/>
      <c r="AA367" s="23" t="n"/>
      <c r="AB367" s="23" t="n"/>
      <c r="AC367" s="23" t="n"/>
      <c r="AD367" s="42">
        <f>IF(OR(L367="",Q367="",R367=""),"",IF(H367="Long",(Q367-L367)*R367*IF(S367="",1,S367),(L367-Q367)*R367*IF(S367="",1,S367)))</f>
        <v/>
      </c>
      <c r="AE367" s="41" t="n"/>
      <c r="AF367" s="41" t="n"/>
      <c r="AG367" s="42">
        <f>IF(AD367="","",AD367-IF(AE367="",0,AE367)-IF(AF367="",0,AF367))</f>
        <v/>
      </c>
      <c r="AH367" s="26">
        <f>IFERROR(AG367/U367,"")</f>
        <v/>
      </c>
      <c r="AI367" s="23" t="n"/>
      <c r="AJ367" s="23" t="n"/>
      <c r="AK367" s="23" t="n"/>
      <c r="AL367" s="23" t="n"/>
    </row>
    <row r="368">
      <c r="A368" s="20">
        <f>IF(B368="","","TR-"&amp;TEXT(ROW()-2,"0000"))</f>
        <v/>
      </c>
      <c r="B368" s="43" t="n"/>
      <c r="C368" s="44" t="n"/>
      <c r="D368" s="44" t="n"/>
      <c r="E368" s="29" t="n"/>
      <c r="F368" s="29" t="n"/>
      <c r="G368" s="29" t="n"/>
      <c r="H368" s="29" t="n"/>
      <c r="I368" s="29" t="n"/>
      <c r="J368" s="29" t="n"/>
      <c r="K368" s="29" t="n"/>
      <c r="L368" s="45" t="n"/>
      <c r="M368" s="45" t="n"/>
      <c r="N368" s="45" t="n"/>
      <c r="O368" s="45" t="n"/>
      <c r="P368" s="45" t="n"/>
      <c r="Q368" s="45" t="n"/>
      <c r="R368" s="29" t="n"/>
      <c r="S368" s="29" t="n"/>
      <c r="T368" s="42">
        <f>IF(OR(L368="",M368=""),"",IFERROR(Settings!$B$3*Settings!$B$5,0))</f>
        <v/>
      </c>
      <c r="U368" s="42">
        <f>IF(OR(L368="",M368="",R368=""),"",ABS(L368-M368)*R368*IF(S368="",1,S368))</f>
        <v/>
      </c>
      <c r="V368" s="26">
        <f>IFERROR(ABS(N368-L368)/ABS(L368-M368),"")</f>
        <v/>
      </c>
      <c r="W368" s="29" t="n"/>
      <c r="X368" s="29" t="n"/>
      <c r="Y368" s="29" t="n"/>
      <c r="Z368" s="29" t="n"/>
      <c r="AA368" s="29" t="n"/>
      <c r="AB368" s="29" t="n"/>
      <c r="AC368" s="29" t="n"/>
      <c r="AD368" s="42">
        <f>IF(OR(L368="",Q368="",R368=""),"",IF(H368="Long",(Q368-L368)*R368*IF(S368="",1,S368),(L368-Q368)*R368*IF(S368="",1,S368)))</f>
        <v/>
      </c>
      <c r="AE368" s="45" t="n"/>
      <c r="AF368" s="45" t="n"/>
      <c r="AG368" s="42">
        <f>IF(AD368="","",AD368-IF(AE368="",0,AE368)-IF(AF368="",0,AF368))</f>
        <v/>
      </c>
      <c r="AH368" s="26">
        <f>IFERROR(AG368/U368,"")</f>
        <v/>
      </c>
      <c r="AI368" s="29" t="n"/>
      <c r="AJ368" s="29" t="n"/>
      <c r="AK368" s="29" t="n"/>
      <c r="AL368" s="29" t="n"/>
    </row>
    <row r="369">
      <c r="A369" s="20">
        <f>IF(B369="","","TR-"&amp;TEXT(ROW()-2,"0000"))</f>
        <v/>
      </c>
      <c r="B369" s="39" t="n"/>
      <c r="C369" s="40" t="n"/>
      <c r="D369" s="40" t="n"/>
      <c r="E369" s="23" t="n"/>
      <c r="F369" s="23" t="n"/>
      <c r="G369" s="23" t="n"/>
      <c r="H369" s="23" t="n"/>
      <c r="I369" s="23" t="n"/>
      <c r="J369" s="23" t="n"/>
      <c r="K369" s="23" t="n"/>
      <c r="L369" s="41" t="n"/>
      <c r="M369" s="41" t="n"/>
      <c r="N369" s="41" t="n"/>
      <c r="O369" s="41" t="n"/>
      <c r="P369" s="41" t="n"/>
      <c r="Q369" s="41" t="n"/>
      <c r="R369" s="23" t="n"/>
      <c r="S369" s="23" t="n"/>
      <c r="T369" s="42">
        <f>IF(OR(L369="",M369=""),"",IFERROR(Settings!$B$3*Settings!$B$5,0))</f>
        <v/>
      </c>
      <c r="U369" s="42">
        <f>IF(OR(L369="",M369="",R369=""),"",ABS(L369-M369)*R369*IF(S369="",1,S369))</f>
        <v/>
      </c>
      <c r="V369" s="26">
        <f>IFERROR(ABS(N369-L369)/ABS(L369-M369),"")</f>
        <v/>
      </c>
      <c r="W369" s="23" t="n"/>
      <c r="X369" s="23" t="n"/>
      <c r="Y369" s="23" t="n"/>
      <c r="Z369" s="23" t="n"/>
      <c r="AA369" s="23" t="n"/>
      <c r="AB369" s="23" t="n"/>
      <c r="AC369" s="23" t="n"/>
      <c r="AD369" s="42">
        <f>IF(OR(L369="",Q369="",R369=""),"",IF(H369="Long",(Q369-L369)*R369*IF(S369="",1,S369),(L369-Q369)*R369*IF(S369="",1,S369)))</f>
        <v/>
      </c>
      <c r="AE369" s="41" t="n"/>
      <c r="AF369" s="41" t="n"/>
      <c r="AG369" s="42">
        <f>IF(AD369="","",AD369-IF(AE369="",0,AE369)-IF(AF369="",0,AF369))</f>
        <v/>
      </c>
      <c r="AH369" s="26">
        <f>IFERROR(AG369/U369,"")</f>
        <v/>
      </c>
      <c r="AI369" s="23" t="n"/>
      <c r="AJ369" s="23" t="n"/>
      <c r="AK369" s="23" t="n"/>
      <c r="AL369" s="23" t="n"/>
    </row>
    <row r="370">
      <c r="A370" s="20">
        <f>IF(B370="","","TR-"&amp;TEXT(ROW()-2,"0000"))</f>
        <v/>
      </c>
      <c r="B370" s="43" t="n"/>
      <c r="C370" s="44" t="n"/>
      <c r="D370" s="44" t="n"/>
      <c r="E370" s="29" t="n"/>
      <c r="F370" s="29" t="n"/>
      <c r="G370" s="29" t="n"/>
      <c r="H370" s="29" t="n"/>
      <c r="I370" s="29" t="n"/>
      <c r="J370" s="29" t="n"/>
      <c r="K370" s="29" t="n"/>
      <c r="L370" s="45" t="n"/>
      <c r="M370" s="45" t="n"/>
      <c r="N370" s="45" t="n"/>
      <c r="O370" s="45" t="n"/>
      <c r="P370" s="45" t="n"/>
      <c r="Q370" s="45" t="n"/>
      <c r="R370" s="29" t="n"/>
      <c r="S370" s="29" t="n"/>
      <c r="T370" s="42">
        <f>IF(OR(L370="",M370=""),"",IFERROR(Settings!$B$3*Settings!$B$5,0))</f>
        <v/>
      </c>
      <c r="U370" s="42">
        <f>IF(OR(L370="",M370="",R370=""),"",ABS(L370-M370)*R370*IF(S370="",1,S370))</f>
        <v/>
      </c>
      <c r="V370" s="26">
        <f>IFERROR(ABS(N370-L370)/ABS(L370-M370),"")</f>
        <v/>
      </c>
      <c r="W370" s="29" t="n"/>
      <c r="X370" s="29" t="n"/>
      <c r="Y370" s="29" t="n"/>
      <c r="Z370" s="29" t="n"/>
      <c r="AA370" s="29" t="n"/>
      <c r="AB370" s="29" t="n"/>
      <c r="AC370" s="29" t="n"/>
      <c r="AD370" s="42">
        <f>IF(OR(L370="",Q370="",R370=""),"",IF(H370="Long",(Q370-L370)*R370*IF(S370="",1,S370),(L370-Q370)*R370*IF(S370="",1,S370)))</f>
        <v/>
      </c>
      <c r="AE370" s="45" t="n"/>
      <c r="AF370" s="45" t="n"/>
      <c r="AG370" s="42">
        <f>IF(AD370="","",AD370-IF(AE370="",0,AE370)-IF(AF370="",0,AF370))</f>
        <v/>
      </c>
      <c r="AH370" s="26">
        <f>IFERROR(AG370/U370,"")</f>
        <v/>
      </c>
      <c r="AI370" s="29" t="n"/>
      <c r="AJ370" s="29" t="n"/>
      <c r="AK370" s="29" t="n"/>
      <c r="AL370" s="29" t="n"/>
    </row>
    <row r="371">
      <c r="A371" s="20">
        <f>IF(B371="","","TR-"&amp;TEXT(ROW()-2,"0000"))</f>
        <v/>
      </c>
      <c r="B371" s="39" t="n"/>
      <c r="C371" s="40" t="n"/>
      <c r="D371" s="40" t="n"/>
      <c r="E371" s="23" t="n"/>
      <c r="F371" s="23" t="n"/>
      <c r="G371" s="23" t="n"/>
      <c r="H371" s="23" t="n"/>
      <c r="I371" s="23" t="n"/>
      <c r="J371" s="23" t="n"/>
      <c r="K371" s="23" t="n"/>
      <c r="L371" s="41" t="n"/>
      <c r="M371" s="41" t="n"/>
      <c r="N371" s="41" t="n"/>
      <c r="O371" s="41" t="n"/>
      <c r="P371" s="41" t="n"/>
      <c r="Q371" s="41" t="n"/>
      <c r="R371" s="23" t="n"/>
      <c r="S371" s="23" t="n"/>
      <c r="T371" s="42">
        <f>IF(OR(L371="",M371=""),"",IFERROR(Settings!$B$3*Settings!$B$5,0))</f>
        <v/>
      </c>
      <c r="U371" s="42">
        <f>IF(OR(L371="",M371="",R371=""),"",ABS(L371-M371)*R371*IF(S371="",1,S371))</f>
        <v/>
      </c>
      <c r="V371" s="26">
        <f>IFERROR(ABS(N371-L371)/ABS(L371-M371),"")</f>
        <v/>
      </c>
      <c r="W371" s="23" t="n"/>
      <c r="X371" s="23" t="n"/>
      <c r="Y371" s="23" t="n"/>
      <c r="Z371" s="23" t="n"/>
      <c r="AA371" s="23" t="n"/>
      <c r="AB371" s="23" t="n"/>
      <c r="AC371" s="23" t="n"/>
      <c r="AD371" s="42">
        <f>IF(OR(L371="",Q371="",R371=""),"",IF(H371="Long",(Q371-L371)*R371*IF(S371="",1,S371),(L371-Q371)*R371*IF(S371="",1,S371)))</f>
        <v/>
      </c>
      <c r="AE371" s="41" t="n"/>
      <c r="AF371" s="41" t="n"/>
      <c r="AG371" s="42">
        <f>IF(AD371="","",AD371-IF(AE371="",0,AE371)-IF(AF371="",0,AF371))</f>
        <v/>
      </c>
      <c r="AH371" s="26">
        <f>IFERROR(AG371/U371,"")</f>
        <v/>
      </c>
      <c r="AI371" s="23" t="n"/>
      <c r="AJ371" s="23" t="n"/>
      <c r="AK371" s="23" t="n"/>
      <c r="AL371" s="23" t="n"/>
    </row>
    <row r="372">
      <c r="A372" s="20">
        <f>IF(B372="","","TR-"&amp;TEXT(ROW()-2,"0000"))</f>
        <v/>
      </c>
      <c r="B372" s="43" t="n"/>
      <c r="C372" s="44" t="n"/>
      <c r="D372" s="44" t="n"/>
      <c r="E372" s="29" t="n"/>
      <c r="F372" s="29" t="n"/>
      <c r="G372" s="29" t="n"/>
      <c r="H372" s="29" t="n"/>
      <c r="I372" s="29" t="n"/>
      <c r="J372" s="29" t="n"/>
      <c r="K372" s="29" t="n"/>
      <c r="L372" s="45" t="n"/>
      <c r="M372" s="45" t="n"/>
      <c r="N372" s="45" t="n"/>
      <c r="O372" s="45" t="n"/>
      <c r="P372" s="45" t="n"/>
      <c r="Q372" s="45" t="n"/>
      <c r="R372" s="29" t="n"/>
      <c r="S372" s="29" t="n"/>
      <c r="T372" s="42">
        <f>IF(OR(L372="",M372=""),"",IFERROR(Settings!$B$3*Settings!$B$5,0))</f>
        <v/>
      </c>
      <c r="U372" s="42">
        <f>IF(OR(L372="",M372="",R372=""),"",ABS(L372-M372)*R372*IF(S372="",1,S372))</f>
        <v/>
      </c>
      <c r="V372" s="26">
        <f>IFERROR(ABS(N372-L372)/ABS(L372-M372),"")</f>
        <v/>
      </c>
      <c r="W372" s="29" t="n"/>
      <c r="X372" s="29" t="n"/>
      <c r="Y372" s="29" t="n"/>
      <c r="Z372" s="29" t="n"/>
      <c r="AA372" s="29" t="n"/>
      <c r="AB372" s="29" t="n"/>
      <c r="AC372" s="29" t="n"/>
      <c r="AD372" s="42">
        <f>IF(OR(L372="",Q372="",R372=""),"",IF(H372="Long",(Q372-L372)*R372*IF(S372="",1,S372),(L372-Q372)*R372*IF(S372="",1,S372)))</f>
        <v/>
      </c>
      <c r="AE372" s="45" t="n"/>
      <c r="AF372" s="45" t="n"/>
      <c r="AG372" s="42">
        <f>IF(AD372="","",AD372-IF(AE372="",0,AE372)-IF(AF372="",0,AF372))</f>
        <v/>
      </c>
      <c r="AH372" s="26">
        <f>IFERROR(AG372/U372,"")</f>
        <v/>
      </c>
      <c r="AI372" s="29" t="n"/>
      <c r="AJ372" s="29" t="n"/>
      <c r="AK372" s="29" t="n"/>
      <c r="AL372" s="29" t="n"/>
    </row>
    <row r="373">
      <c r="A373" s="20">
        <f>IF(B373="","","TR-"&amp;TEXT(ROW()-2,"0000"))</f>
        <v/>
      </c>
      <c r="B373" s="39" t="n"/>
      <c r="C373" s="40" t="n"/>
      <c r="D373" s="40" t="n"/>
      <c r="E373" s="23" t="n"/>
      <c r="F373" s="23" t="n"/>
      <c r="G373" s="23" t="n"/>
      <c r="H373" s="23" t="n"/>
      <c r="I373" s="23" t="n"/>
      <c r="J373" s="23" t="n"/>
      <c r="K373" s="23" t="n"/>
      <c r="L373" s="41" t="n"/>
      <c r="M373" s="41" t="n"/>
      <c r="N373" s="41" t="n"/>
      <c r="O373" s="41" t="n"/>
      <c r="P373" s="41" t="n"/>
      <c r="Q373" s="41" t="n"/>
      <c r="R373" s="23" t="n"/>
      <c r="S373" s="23" t="n"/>
      <c r="T373" s="42">
        <f>IF(OR(L373="",M373=""),"",IFERROR(Settings!$B$3*Settings!$B$5,0))</f>
        <v/>
      </c>
      <c r="U373" s="42">
        <f>IF(OR(L373="",M373="",R373=""),"",ABS(L373-M373)*R373*IF(S373="",1,S373))</f>
        <v/>
      </c>
      <c r="V373" s="26">
        <f>IFERROR(ABS(N373-L373)/ABS(L373-M373),"")</f>
        <v/>
      </c>
      <c r="W373" s="23" t="n"/>
      <c r="X373" s="23" t="n"/>
      <c r="Y373" s="23" t="n"/>
      <c r="Z373" s="23" t="n"/>
      <c r="AA373" s="23" t="n"/>
      <c r="AB373" s="23" t="n"/>
      <c r="AC373" s="23" t="n"/>
      <c r="AD373" s="42">
        <f>IF(OR(L373="",Q373="",R373=""),"",IF(H373="Long",(Q373-L373)*R373*IF(S373="",1,S373),(L373-Q373)*R373*IF(S373="",1,S373)))</f>
        <v/>
      </c>
      <c r="AE373" s="41" t="n"/>
      <c r="AF373" s="41" t="n"/>
      <c r="AG373" s="42">
        <f>IF(AD373="","",AD373-IF(AE373="",0,AE373)-IF(AF373="",0,AF373))</f>
        <v/>
      </c>
      <c r="AH373" s="26">
        <f>IFERROR(AG373/U373,"")</f>
        <v/>
      </c>
      <c r="AI373" s="23" t="n"/>
      <c r="AJ373" s="23" t="n"/>
      <c r="AK373" s="23" t="n"/>
      <c r="AL373" s="23" t="n"/>
    </row>
    <row r="374">
      <c r="A374" s="20">
        <f>IF(B374="","","TR-"&amp;TEXT(ROW()-2,"0000"))</f>
        <v/>
      </c>
      <c r="B374" s="43" t="n"/>
      <c r="C374" s="44" t="n"/>
      <c r="D374" s="44" t="n"/>
      <c r="E374" s="29" t="n"/>
      <c r="F374" s="29" t="n"/>
      <c r="G374" s="29" t="n"/>
      <c r="H374" s="29" t="n"/>
      <c r="I374" s="29" t="n"/>
      <c r="J374" s="29" t="n"/>
      <c r="K374" s="29" t="n"/>
      <c r="L374" s="45" t="n"/>
      <c r="M374" s="45" t="n"/>
      <c r="N374" s="45" t="n"/>
      <c r="O374" s="45" t="n"/>
      <c r="P374" s="45" t="n"/>
      <c r="Q374" s="45" t="n"/>
      <c r="R374" s="29" t="n"/>
      <c r="S374" s="29" t="n"/>
      <c r="T374" s="42">
        <f>IF(OR(L374="",M374=""),"",IFERROR(Settings!$B$3*Settings!$B$5,0))</f>
        <v/>
      </c>
      <c r="U374" s="42">
        <f>IF(OR(L374="",M374="",R374=""),"",ABS(L374-M374)*R374*IF(S374="",1,S374))</f>
        <v/>
      </c>
      <c r="V374" s="26">
        <f>IFERROR(ABS(N374-L374)/ABS(L374-M374),"")</f>
        <v/>
      </c>
      <c r="W374" s="29" t="n"/>
      <c r="X374" s="29" t="n"/>
      <c r="Y374" s="29" t="n"/>
      <c r="Z374" s="29" t="n"/>
      <c r="AA374" s="29" t="n"/>
      <c r="AB374" s="29" t="n"/>
      <c r="AC374" s="29" t="n"/>
      <c r="AD374" s="42">
        <f>IF(OR(L374="",Q374="",R374=""),"",IF(H374="Long",(Q374-L374)*R374*IF(S374="",1,S374),(L374-Q374)*R374*IF(S374="",1,S374)))</f>
        <v/>
      </c>
      <c r="AE374" s="45" t="n"/>
      <c r="AF374" s="45" t="n"/>
      <c r="AG374" s="42">
        <f>IF(AD374="","",AD374-IF(AE374="",0,AE374)-IF(AF374="",0,AF374))</f>
        <v/>
      </c>
      <c r="AH374" s="26">
        <f>IFERROR(AG374/U374,"")</f>
        <v/>
      </c>
      <c r="AI374" s="29" t="n"/>
      <c r="AJ374" s="29" t="n"/>
      <c r="AK374" s="29" t="n"/>
      <c r="AL374" s="29" t="n"/>
    </row>
    <row r="375">
      <c r="A375" s="20">
        <f>IF(B375="","","TR-"&amp;TEXT(ROW()-2,"0000"))</f>
        <v/>
      </c>
      <c r="B375" s="39" t="n"/>
      <c r="C375" s="40" t="n"/>
      <c r="D375" s="40" t="n"/>
      <c r="E375" s="23" t="n"/>
      <c r="F375" s="23" t="n"/>
      <c r="G375" s="23" t="n"/>
      <c r="H375" s="23" t="n"/>
      <c r="I375" s="23" t="n"/>
      <c r="J375" s="23" t="n"/>
      <c r="K375" s="23" t="n"/>
      <c r="L375" s="41" t="n"/>
      <c r="M375" s="41" t="n"/>
      <c r="N375" s="41" t="n"/>
      <c r="O375" s="41" t="n"/>
      <c r="P375" s="41" t="n"/>
      <c r="Q375" s="41" t="n"/>
      <c r="R375" s="23" t="n"/>
      <c r="S375" s="23" t="n"/>
      <c r="T375" s="42">
        <f>IF(OR(L375="",M375=""),"",IFERROR(Settings!$B$3*Settings!$B$5,0))</f>
        <v/>
      </c>
      <c r="U375" s="42">
        <f>IF(OR(L375="",M375="",R375=""),"",ABS(L375-M375)*R375*IF(S375="",1,S375))</f>
        <v/>
      </c>
      <c r="V375" s="26">
        <f>IFERROR(ABS(N375-L375)/ABS(L375-M375),"")</f>
        <v/>
      </c>
      <c r="W375" s="23" t="n"/>
      <c r="X375" s="23" t="n"/>
      <c r="Y375" s="23" t="n"/>
      <c r="Z375" s="23" t="n"/>
      <c r="AA375" s="23" t="n"/>
      <c r="AB375" s="23" t="n"/>
      <c r="AC375" s="23" t="n"/>
      <c r="AD375" s="42">
        <f>IF(OR(L375="",Q375="",R375=""),"",IF(H375="Long",(Q375-L375)*R375*IF(S375="",1,S375),(L375-Q375)*R375*IF(S375="",1,S375)))</f>
        <v/>
      </c>
      <c r="AE375" s="41" t="n"/>
      <c r="AF375" s="41" t="n"/>
      <c r="AG375" s="42">
        <f>IF(AD375="","",AD375-IF(AE375="",0,AE375)-IF(AF375="",0,AF375))</f>
        <v/>
      </c>
      <c r="AH375" s="26">
        <f>IFERROR(AG375/U375,"")</f>
        <v/>
      </c>
      <c r="AI375" s="23" t="n"/>
      <c r="AJ375" s="23" t="n"/>
      <c r="AK375" s="23" t="n"/>
      <c r="AL375" s="23" t="n"/>
    </row>
    <row r="376">
      <c r="A376" s="20">
        <f>IF(B376="","","TR-"&amp;TEXT(ROW()-2,"0000"))</f>
        <v/>
      </c>
      <c r="B376" s="43" t="n"/>
      <c r="C376" s="44" t="n"/>
      <c r="D376" s="44" t="n"/>
      <c r="E376" s="29" t="n"/>
      <c r="F376" s="29" t="n"/>
      <c r="G376" s="29" t="n"/>
      <c r="H376" s="29" t="n"/>
      <c r="I376" s="29" t="n"/>
      <c r="J376" s="29" t="n"/>
      <c r="K376" s="29" t="n"/>
      <c r="L376" s="45" t="n"/>
      <c r="M376" s="45" t="n"/>
      <c r="N376" s="45" t="n"/>
      <c r="O376" s="45" t="n"/>
      <c r="P376" s="45" t="n"/>
      <c r="Q376" s="45" t="n"/>
      <c r="R376" s="29" t="n"/>
      <c r="S376" s="29" t="n"/>
      <c r="T376" s="42">
        <f>IF(OR(L376="",M376=""),"",IFERROR(Settings!$B$3*Settings!$B$5,0))</f>
        <v/>
      </c>
      <c r="U376" s="42">
        <f>IF(OR(L376="",M376="",R376=""),"",ABS(L376-M376)*R376*IF(S376="",1,S376))</f>
        <v/>
      </c>
      <c r="V376" s="26">
        <f>IFERROR(ABS(N376-L376)/ABS(L376-M376),"")</f>
        <v/>
      </c>
      <c r="W376" s="29" t="n"/>
      <c r="X376" s="29" t="n"/>
      <c r="Y376" s="29" t="n"/>
      <c r="Z376" s="29" t="n"/>
      <c r="AA376" s="29" t="n"/>
      <c r="AB376" s="29" t="n"/>
      <c r="AC376" s="29" t="n"/>
      <c r="AD376" s="42">
        <f>IF(OR(L376="",Q376="",R376=""),"",IF(H376="Long",(Q376-L376)*R376*IF(S376="",1,S376),(L376-Q376)*R376*IF(S376="",1,S376)))</f>
        <v/>
      </c>
      <c r="AE376" s="45" t="n"/>
      <c r="AF376" s="45" t="n"/>
      <c r="AG376" s="42">
        <f>IF(AD376="","",AD376-IF(AE376="",0,AE376)-IF(AF376="",0,AF376))</f>
        <v/>
      </c>
      <c r="AH376" s="26">
        <f>IFERROR(AG376/U376,"")</f>
        <v/>
      </c>
      <c r="AI376" s="29" t="n"/>
      <c r="AJ376" s="29" t="n"/>
      <c r="AK376" s="29" t="n"/>
      <c r="AL376" s="29" t="n"/>
    </row>
    <row r="377">
      <c r="A377" s="20">
        <f>IF(B377="","","TR-"&amp;TEXT(ROW()-2,"0000"))</f>
        <v/>
      </c>
      <c r="B377" s="39" t="n"/>
      <c r="C377" s="40" t="n"/>
      <c r="D377" s="40" t="n"/>
      <c r="E377" s="23" t="n"/>
      <c r="F377" s="23" t="n"/>
      <c r="G377" s="23" t="n"/>
      <c r="H377" s="23" t="n"/>
      <c r="I377" s="23" t="n"/>
      <c r="J377" s="23" t="n"/>
      <c r="K377" s="23" t="n"/>
      <c r="L377" s="41" t="n"/>
      <c r="M377" s="41" t="n"/>
      <c r="N377" s="41" t="n"/>
      <c r="O377" s="41" t="n"/>
      <c r="P377" s="41" t="n"/>
      <c r="Q377" s="41" t="n"/>
      <c r="R377" s="23" t="n"/>
      <c r="S377" s="23" t="n"/>
      <c r="T377" s="42">
        <f>IF(OR(L377="",M377=""),"",IFERROR(Settings!$B$3*Settings!$B$5,0))</f>
        <v/>
      </c>
      <c r="U377" s="42">
        <f>IF(OR(L377="",M377="",R377=""),"",ABS(L377-M377)*R377*IF(S377="",1,S377))</f>
        <v/>
      </c>
      <c r="V377" s="26">
        <f>IFERROR(ABS(N377-L377)/ABS(L377-M377),"")</f>
        <v/>
      </c>
      <c r="W377" s="23" t="n"/>
      <c r="X377" s="23" t="n"/>
      <c r="Y377" s="23" t="n"/>
      <c r="Z377" s="23" t="n"/>
      <c r="AA377" s="23" t="n"/>
      <c r="AB377" s="23" t="n"/>
      <c r="AC377" s="23" t="n"/>
      <c r="AD377" s="42">
        <f>IF(OR(L377="",Q377="",R377=""),"",IF(H377="Long",(Q377-L377)*R377*IF(S377="",1,S377),(L377-Q377)*R377*IF(S377="",1,S377)))</f>
        <v/>
      </c>
      <c r="AE377" s="41" t="n"/>
      <c r="AF377" s="41" t="n"/>
      <c r="AG377" s="42">
        <f>IF(AD377="","",AD377-IF(AE377="",0,AE377)-IF(AF377="",0,AF377))</f>
        <v/>
      </c>
      <c r="AH377" s="26">
        <f>IFERROR(AG377/U377,"")</f>
        <v/>
      </c>
      <c r="AI377" s="23" t="n"/>
      <c r="AJ377" s="23" t="n"/>
      <c r="AK377" s="23" t="n"/>
      <c r="AL377" s="23" t="n"/>
    </row>
    <row r="378">
      <c r="A378" s="20">
        <f>IF(B378="","","TR-"&amp;TEXT(ROW()-2,"0000"))</f>
        <v/>
      </c>
      <c r="B378" s="43" t="n"/>
      <c r="C378" s="44" t="n"/>
      <c r="D378" s="44" t="n"/>
      <c r="E378" s="29" t="n"/>
      <c r="F378" s="29" t="n"/>
      <c r="G378" s="29" t="n"/>
      <c r="H378" s="29" t="n"/>
      <c r="I378" s="29" t="n"/>
      <c r="J378" s="29" t="n"/>
      <c r="K378" s="29" t="n"/>
      <c r="L378" s="45" t="n"/>
      <c r="M378" s="45" t="n"/>
      <c r="N378" s="45" t="n"/>
      <c r="O378" s="45" t="n"/>
      <c r="P378" s="45" t="n"/>
      <c r="Q378" s="45" t="n"/>
      <c r="R378" s="29" t="n"/>
      <c r="S378" s="29" t="n"/>
      <c r="T378" s="42">
        <f>IF(OR(L378="",M378=""),"",IFERROR(Settings!$B$3*Settings!$B$5,0))</f>
        <v/>
      </c>
      <c r="U378" s="42">
        <f>IF(OR(L378="",M378="",R378=""),"",ABS(L378-M378)*R378*IF(S378="",1,S378))</f>
        <v/>
      </c>
      <c r="V378" s="26">
        <f>IFERROR(ABS(N378-L378)/ABS(L378-M378),"")</f>
        <v/>
      </c>
      <c r="W378" s="29" t="n"/>
      <c r="X378" s="29" t="n"/>
      <c r="Y378" s="29" t="n"/>
      <c r="Z378" s="29" t="n"/>
      <c r="AA378" s="29" t="n"/>
      <c r="AB378" s="29" t="n"/>
      <c r="AC378" s="29" t="n"/>
      <c r="AD378" s="42">
        <f>IF(OR(L378="",Q378="",R378=""),"",IF(H378="Long",(Q378-L378)*R378*IF(S378="",1,S378),(L378-Q378)*R378*IF(S378="",1,S378)))</f>
        <v/>
      </c>
      <c r="AE378" s="45" t="n"/>
      <c r="AF378" s="45" t="n"/>
      <c r="AG378" s="42">
        <f>IF(AD378="","",AD378-IF(AE378="",0,AE378)-IF(AF378="",0,AF378))</f>
        <v/>
      </c>
      <c r="AH378" s="26">
        <f>IFERROR(AG378/U378,"")</f>
        <v/>
      </c>
      <c r="AI378" s="29" t="n"/>
      <c r="AJ378" s="29" t="n"/>
      <c r="AK378" s="29" t="n"/>
      <c r="AL378" s="29" t="n"/>
    </row>
    <row r="379">
      <c r="A379" s="20">
        <f>IF(B379="","","TR-"&amp;TEXT(ROW()-2,"0000"))</f>
        <v/>
      </c>
      <c r="B379" s="39" t="n"/>
      <c r="C379" s="40" t="n"/>
      <c r="D379" s="40" t="n"/>
      <c r="E379" s="23" t="n"/>
      <c r="F379" s="23" t="n"/>
      <c r="G379" s="23" t="n"/>
      <c r="H379" s="23" t="n"/>
      <c r="I379" s="23" t="n"/>
      <c r="J379" s="23" t="n"/>
      <c r="K379" s="23" t="n"/>
      <c r="L379" s="41" t="n"/>
      <c r="M379" s="41" t="n"/>
      <c r="N379" s="41" t="n"/>
      <c r="O379" s="41" t="n"/>
      <c r="P379" s="41" t="n"/>
      <c r="Q379" s="41" t="n"/>
      <c r="R379" s="23" t="n"/>
      <c r="S379" s="23" t="n"/>
      <c r="T379" s="42">
        <f>IF(OR(L379="",M379=""),"",IFERROR(Settings!$B$3*Settings!$B$5,0))</f>
        <v/>
      </c>
      <c r="U379" s="42">
        <f>IF(OR(L379="",M379="",R379=""),"",ABS(L379-M379)*R379*IF(S379="",1,S379))</f>
        <v/>
      </c>
      <c r="V379" s="26">
        <f>IFERROR(ABS(N379-L379)/ABS(L379-M379),"")</f>
        <v/>
      </c>
      <c r="W379" s="23" t="n"/>
      <c r="X379" s="23" t="n"/>
      <c r="Y379" s="23" t="n"/>
      <c r="Z379" s="23" t="n"/>
      <c r="AA379" s="23" t="n"/>
      <c r="AB379" s="23" t="n"/>
      <c r="AC379" s="23" t="n"/>
      <c r="AD379" s="42">
        <f>IF(OR(L379="",Q379="",R379=""),"",IF(H379="Long",(Q379-L379)*R379*IF(S379="",1,S379),(L379-Q379)*R379*IF(S379="",1,S379)))</f>
        <v/>
      </c>
      <c r="AE379" s="41" t="n"/>
      <c r="AF379" s="41" t="n"/>
      <c r="AG379" s="42">
        <f>IF(AD379="","",AD379-IF(AE379="",0,AE379)-IF(AF379="",0,AF379))</f>
        <v/>
      </c>
      <c r="AH379" s="26">
        <f>IFERROR(AG379/U379,"")</f>
        <v/>
      </c>
      <c r="AI379" s="23" t="n"/>
      <c r="AJ379" s="23" t="n"/>
      <c r="AK379" s="23" t="n"/>
      <c r="AL379" s="23" t="n"/>
    </row>
    <row r="380">
      <c r="A380" s="20">
        <f>IF(B380="","","TR-"&amp;TEXT(ROW()-2,"0000"))</f>
        <v/>
      </c>
      <c r="B380" s="43" t="n"/>
      <c r="C380" s="44" t="n"/>
      <c r="D380" s="44" t="n"/>
      <c r="E380" s="29" t="n"/>
      <c r="F380" s="29" t="n"/>
      <c r="G380" s="29" t="n"/>
      <c r="H380" s="29" t="n"/>
      <c r="I380" s="29" t="n"/>
      <c r="J380" s="29" t="n"/>
      <c r="K380" s="29" t="n"/>
      <c r="L380" s="45" t="n"/>
      <c r="M380" s="45" t="n"/>
      <c r="N380" s="45" t="n"/>
      <c r="O380" s="45" t="n"/>
      <c r="P380" s="45" t="n"/>
      <c r="Q380" s="45" t="n"/>
      <c r="R380" s="29" t="n"/>
      <c r="S380" s="29" t="n"/>
      <c r="T380" s="42">
        <f>IF(OR(L380="",M380=""),"",IFERROR(Settings!$B$3*Settings!$B$5,0))</f>
        <v/>
      </c>
      <c r="U380" s="42">
        <f>IF(OR(L380="",M380="",R380=""),"",ABS(L380-M380)*R380*IF(S380="",1,S380))</f>
        <v/>
      </c>
      <c r="V380" s="26">
        <f>IFERROR(ABS(N380-L380)/ABS(L380-M380),"")</f>
        <v/>
      </c>
      <c r="W380" s="29" t="n"/>
      <c r="X380" s="29" t="n"/>
      <c r="Y380" s="29" t="n"/>
      <c r="Z380" s="29" t="n"/>
      <c r="AA380" s="29" t="n"/>
      <c r="AB380" s="29" t="n"/>
      <c r="AC380" s="29" t="n"/>
      <c r="AD380" s="42">
        <f>IF(OR(L380="",Q380="",R380=""),"",IF(H380="Long",(Q380-L380)*R380*IF(S380="",1,S380),(L380-Q380)*R380*IF(S380="",1,S380)))</f>
        <v/>
      </c>
      <c r="AE380" s="45" t="n"/>
      <c r="AF380" s="45" t="n"/>
      <c r="AG380" s="42">
        <f>IF(AD380="","",AD380-IF(AE380="",0,AE380)-IF(AF380="",0,AF380))</f>
        <v/>
      </c>
      <c r="AH380" s="26">
        <f>IFERROR(AG380/U380,"")</f>
        <v/>
      </c>
      <c r="AI380" s="29" t="n"/>
      <c r="AJ380" s="29" t="n"/>
      <c r="AK380" s="29" t="n"/>
      <c r="AL380" s="29" t="n"/>
    </row>
    <row r="381">
      <c r="A381" s="20">
        <f>IF(B381="","","TR-"&amp;TEXT(ROW()-2,"0000"))</f>
        <v/>
      </c>
      <c r="B381" s="39" t="n"/>
      <c r="C381" s="40" t="n"/>
      <c r="D381" s="40" t="n"/>
      <c r="E381" s="23" t="n"/>
      <c r="F381" s="23" t="n"/>
      <c r="G381" s="23" t="n"/>
      <c r="H381" s="23" t="n"/>
      <c r="I381" s="23" t="n"/>
      <c r="J381" s="23" t="n"/>
      <c r="K381" s="23" t="n"/>
      <c r="L381" s="41" t="n"/>
      <c r="M381" s="41" t="n"/>
      <c r="N381" s="41" t="n"/>
      <c r="O381" s="41" t="n"/>
      <c r="P381" s="41" t="n"/>
      <c r="Q381" s="41" t="n"/>
      <c r="R381" s="23" t="n"/>
      <c r="S381" s="23" t="n"/>
      <c r="T381" s="42">
        <f>IF(OR(L381="",M381=""),"",IFERROR(Settings!$B$3*Settings!$B$5,0))</f>
        <v/>
      </c>
      <c r="U381" s="42">
        <f>IF(OR(L381="",M381="",R381=""),"",ABS(L381-M381)*R381*IF(S381="",1,S381))</f>
        <v/>
      </c>
      <c r="V381" s="26">
        <f>IFERROR(ABS(N381-L381)/ABS(L381-M381),"")</f>
        <v/>
      </c>
      <c r="W381" s="23" t="n"/>
      <c r="X381" s="23" t="n"/>
      <c r="Y381" s="23" t="n"/>
      <c r="Z381" s="23" t="n"/>
      <c r="AA381" s="23" t="n"/>
      <c r="AB381" s="23" t="n"/>
      <c r="AC381" s="23" t="n"/>
      <c r="AD381" s="42">
        <f>IF(OR(L381="",Q381="",R381=""),"",IF(H381="Long",(Q381-L381)*R381*IF(S381="",1,S381),(L381-Q381)*R381*IF(S381="",1,S381)))</f>
        <v/>
      </c>
      <c r="AE381" s="41" t="n"/>
      <c r="AF381" s="41" t="n"/>
      <c r="AG381" s="42">
        <f>IF(AD381="","",AD381-IF(AE381="",0,AE381)-IF(AF381="",0,AF381))</f>
        <v/>
      </c>
      <c r="AH381" s="26">
        <f>IFERROR(AG381/U381,"")</f>
        <v/>
      </c>
      <c r="AI381" s="23" t="n"/>
      <c r="AJ381" s="23" t="n"/>
      <c r="AK381" s="23" t="n"/>
      <c r="AL381" s="23" t="n"/>
    </row>
    <row r="382">
      <c r="A382" s="20">
        <f>IF(B382="","","TR-"&amp;TEXT(ROW()-2,"0000"))</f>
        <v/>
      </c>
      <c r="B382" s="43" t="n"/>
      <c r="C382" s="44" t="n"/>
      <c r="D382" s="44" t="n"/>
      <c r="E382" s="29" t="n"/>
      <c r="F382" s="29" t="n"/>
      <c r="G382" s="29" t="n"/>
      <c r="H382" s="29" t="n"/>
      <c r="I382" s="29" t="n"/>
      <c r="J382" s="29" t="n"/>
      <c r="K382" s="29" t="n"/>
      <c r="L382" s="45" t="n"/>
      <c r="M382" s="45" t="n"/>
      <c r="N382" s="45" t="n"/>
      <c r="O382" s="45" t="n"/>
      <c r="P382" s="45" t="n"/>
      <c r="Q382" s="45" t="n"/>
      <c r="R382" s="29" t="n"/>
      <c r="S382" s="29" t="n"/>
      <c r="T382" s="42">
        <f>IF(OR(L382="",M382=""),"",IFERROR(Settings!$B$3*Settings!$B$5,0))</f>
        <v/>
      </c>
      <c r="U382" s="42">
        <f>IF(OR(L382="",M382="",R382=""),"",ABS(L382-M382)*R382*IF(S382="",1,S382))</f>
        <v/>
      </c>
      <c r="V382" s="26">
        <f>IFERROR(ABS(N382-L382)/ABS(L382-M382),"")</f>
        <v/>
      </c>
      <c r="W382" s="29" t="n"/>
      <c r="X382" s="29" t="n"/>
      <c r="Y382" s="29" t="n"/>
      <c r="Z382" s="29" t="n"/>
      <c r="AA382" s="29" t="n"/>
      <c r="AB382" s="29" t="n"/>
      <c r="AC382" s="29" t="n"/>
      <c r="AD382" s="42">
        <f>IF(OR(L382="",Q382="",R382=""),"",IF(H382="Long",(Q382-L382)*R382*IF(S382="",1,S382),(L382-Q382)*R382*IF(S382="",1,S382)))</f>
        <v/>
      </c>
      <c r="AE382" s="45" t="n"/>
      <c r="AF382" s="45" t="n"/>
      <c r="AG382" s="42">
        <f>IF(AD382="","",AD382-IF(AE382="",0,AE382)-IF(AF382="",0,AF382))</f>
        <v/>
      </c>
      <c r="AH382" s="26">
        <f>IFERROR(AG382/U382,"")</f>
        <v/>
      </c>
      <c r="AI382" s="29" t="n"/>
      <c r="AJ382" s="29" t="n"/>
      <c r="AK382" s="29" t="n"/>
      <c r="AL382" s="29" t="n"/>
    </row>
    <row r="383">
      <c r="A383" s="20">
        <f>IF(B383="","","TR-"&amp;TEXT(ROW()-2,"0000"))</f>
        <v/>
      </c>
      <c r="B383" s="39" t="n"/>
      <c r="C383" s="40" t="n"/>
      <c r="D383" s="40" t="n"/>
      <c r="E383" s="23" t="n"/>
      <c r="F383" s="23" t="n"/>
      <c r="G383" s="23" t="n"/>
      <c r="H383" s="23" t="n"/>
      <c r="I383" s="23" t="n"/>
      <c r="J383" s="23" t="n"/>
      <c r="K383" s="23" t="n"/>
      <c r="L383" s="41" t="n"/>
      <c r="M383" s="41" t="n"/>
      <c r="N383" s="41" t="n"/>
      <c r="O383" s="41" t="n"/>
      <c r="P383" s="41" t="n"/>
      <c r="Q383" s="41" t="n"/>
      <c r="R383" s="23" t="n"/>
      <c r="S383" s="23" t="n"/>
      <c r="T383" s="42">
        <f>IF(OR(L383="",M383=""),"",IFERROR(Settings!$B$3*Settings!$B$5,0))</f>
        <v/>
      </c>
      <c r="U383" s="42">
        <f>IF(OR(L383="",M383="",R383=""),"",ABS(L383-M383)*R383*IF(S383="",1,S383))</f>
        <v/>
      </c>
      <c r="V383" s="26">
        <f>IFERROR(ABS(N383-L383)/ABS(L383-M383),"")</f>
        <v/>
      </c>
      <c r="W383" s="23" t="n"/>
      <c r="X383" s="23" t="n"/>
      <c r="Y383" s="23" t="n"/>
      <c r="Z383" s="23" t="n"/>
      <c r="AA383" s="23" t="n"/>
      <c r="AB383" s="23" t="n"/>
      <c r="AC383" s="23" t="n"/>
      <c r="AD383" s="42">
        <f>IF(OR(L383="",Q383="",R383=""),"",IF(H383="Long",(Q383-L383)*R383*IF(S383="",1,S383),(L383-Q383)*R383*IF(S383="",1,S383)))</f>
        <v/>
      </c>
      <c r="AE383" s="41" t="n"/>
      <c r="AF383" s="41" t="n"/>
      <c r="AG383" s="42">
        <f>IF(AD383="","",AD383-IF(AE383="",0,AE383)-IF(AF383="",0,AF383))</f>
        <v/>
      </c>
      <c r="AH383" s="26">
        <f>IFERROR(AG383/U383,"")</f>
        <v/>
      </c>
      <c r="AI383" s="23" t="n"/>
      <c r="AJ383" s="23" t="n"/>
      <c r="AK383" s="23" t="n"/>
      <c r="AL383" s="23" t="n"/>
    </row>
    <row r="384">
      <c r="A384" s="20">
        <f>IF(B384="","","TR-"&amp;TEXT(ROW()-2,"0000"))</f>
        <v/>
      </c>
      <c r="B384" s="43" t="n"/>
      <c r="C384" s="44" t="n"/>
      <c r="D384" s="44" t="n"/>
      <c r="E384" s="29" t="n"/>
      <c r="F384" s="29" t="n"/>
      <c r="G384" s="29" t="n"/>
      <c r="H384" s="29" t="n"/>
      <c r="I384" s="29" t="n"/>
      <c r="J384" s="29" t="n"/>
      <c r="K384" s="29" t="n"/>
      <c r="L384" s="45" t="n"/>
      <c r="M384" s="45" t="n"/>
      <c r="N384" s="45" t="n"/>
      <c r="O384" s="45" t="n"/>
      <c r="P384" s="45" t="n"/>
      <c r="Q384" s="45" t="n"/>
      <c r="R384" s="29" t="n"/>
      <c r="S384" s="29" t="n"/>
      <c r="T384" s="42">
        <f>IF(OR(L384="",M384=""),"",IFERROR(Settings!$B$3*Settings!$B$5,0))</f>
        <v/>
      </c>
      <c r="U384" s="42">
        <f>IF(OR(L384="",M384="",R384=""),"",ABS(L384-M384)*R384*IF(S384="",1,S384))</f>
        <v/>
      </c>
      <c r="V384" s="26">
        <f>IFERROR(ABS(N384-L384)/ABS(L384-M384),"")</f>
        <v/>
      </c>
      <c r="W384" s="29" t="n"/>
      <c r="X384" s="29" t="n"/>
      <c r="Y384" s="29" t="n"/>
      <c r="Z384" s="29" t="n"/>
      <c r="AA384" s="29" t="n"/>
      <c r="AB384" s="29" t="n"/>
      <c r="AC384" s="29" t="n"/>
      <c r="AD384" s="42">
        <f>IF(OR(L384="",Q384="",R384=""),"",IF(H384="Long",(Q384-L384)*R384*IF(S384="",1,S384),(L384-Q384)*R384*IF(S384="",1,S384)))</f>
        <v/>
      </c>
      <c r="AE384" s="45" t="n"/>
      <c r="AF384" s="45" t="n"/>
      <c r="AG384" s="42">
        <f>IF(AD384="","",AD384-IF(AE384="",0,AE384)-IF(AF384="",0,AF384))</f>
        <v/>
      </c>
      <c r="AH384" s="26">
        <f>IFERROR(AG384/U384,"")</f>
        <v/>
      </c>
      <c r="AI384" s="29" t="n"/>
      <c r="AJ384" s="29" t="n"/>
      <c r="AK384" s="29" t="n"/>
      <c r="AL384" s="29" t="n"/>
    </row>
    <row r="385">
      <c r="A385" s="20">
        <f>IF(B385="","","TR-"&amp;TEXT(ROW()-2,"0000"))</f>
        <v/>
      </c>
      <c r="B385" s="39" t="n"/>
      <c r="C385" s="40" t="n"/>
      <c r="D385" s="40" t="n"/>
      <c r="E385" s="23" t="n"/>
      <c r="F385" s="23" t="n"/>
      <c r="G385" s="23" t="n"/>
      <c r="H385" s="23" t="n"/>
      <c r="I385" s="23" t="n"/>
      <c r="J385" s="23" t="n"/>
      <c r="K385" s="23" t="n"/>
      <c r="L385" s="41" t="n"/>
      <c r="M385" s="41" t="n"/>
      <c r="N385" s="41" t="n"/>
      <c r="O385" s="41" t="n"/>
      <c r="P385" s="41" t="n"/>
      <c r="Q385" s="41" t="n"/>
      <c r="R385" s="23" t="n"/>
      <c r="S385" s="23" t="n"/>
      <c r="T385" s="42">
        <f>IF(OR(L385="",M385=""),"",IFERROR(Settings!$B$3*Settings!$B$5,0))</f>
        <v/>
      </c>
      <c r="U385" s="42">
        <f>IF(OR(L385="",M385="",R385=""),"",ABS(L385-M385)*R385*IF(S385="",1,S385))</f>
        <v/>
      </c>
      <c r="V385" s="26">
        <f>IFERROR(ABS(N385-L385)/ABS(L385-M385),"")</f>
        <v/>
      </c>
      <c r="W385" s="23" t="n"/>
      <c r="X385" s="23" t="n"/>
      <c r="Y385" s="23" t="n"/>
      <c r="Z385" s="23" t="n"/>
      <c r="AA385" s="23" t="n"/>
      <c r="AB385" s="23" t="n"/>
      <c r="AC385" s="23" t="n"/>
      <c r="AD385" s="42">
        <f>IF(OR(L385="",Q385="",R385=""),"",IF(H385="Long",(Q385-L385)*R385*IF(S385="",1,S385),(L385-Q385)*R385*IF(S385="",1,S385)))</f>
        <v/>
      </c>
      <c r="AE385" s="41" t="n"/>
      <c r="AF385" s="41" t="n"/>
      <c r="AG385" s="42">
        <f>IF(AD385="","",AD385-IF(AE385="",0,AE385)-IF(AF385="",0,AF385))</f>
        <v/>
      </c>
      <c r="AH385" s="26">
        <f>IFERROR(AG385/U385,"")</f>
        <v/>
      </c>
      <c r="AI385" s="23" t="n"/>
      <c r="AJ385" s="23" t="n"/>
      <c r="AK385" s="23" t="n"/>
      <c r="AL385" s="23" t="n"/>
    </row>
    <row r="386">
      <c r="A386" s="20">
        <f>IF(B386="","","TR-"&amp;TEXT(ROW()-2,"0000"))</f>
        <v/>
      </c>
      <c r="B386" s="43" t="n"/>
      <c r="C386" s="44" t="n"/>
      <c r="D386" s="44" t="n"/>
      <c r="E386" s="29" t="n"/>
      <c r="F386" s="29" t="n"/>
      <c r="G386" s="29" t="n"/>
      <c r="H386" s="29" t="n"/>
      <c r="I386" s="29" t="n"/>
      <c r="J386" s="29" t="n"/>
      <c r="K386" s="29" t="n"/>
      <c r="L386" s="45" t="n"/>
      <c r="M386" s="45" t="n"/>
      <c r="N386" s="45" t="n"/>
      <c r="O386" s="45" t="n"/>
      <c r="P386" s="45" t="n"/>
      <c r="Q386" s="45" t="n"/>
      <c r="R386" s="29" t="n"/>
      <c r="S386" s="29" t="n"/>
      <c r="T386" s="42">
        <f>IF(OR(L386="",M386=""),"",IFERROR(Settings!$B$3*Settings!$B$5,0))</f>
        <v/>
      </c>
      <c r="U386" s="42">
        <f>IF(OR(L386="",M386="",R386=""),"",ABS(L386-M386)*R386*IF(S386="",1,S386))</f>
        <v/>
      </c>
      <c r="V386" s="26">
        <f>IFERROR(ABS(N386-L386)/ABS(L386-M386),"")</f>
        <v/>
      </c>
      <c r="W386" s="29" t="n"/>
      <c r="X386" s="29" t="n"/>
      <c r="Y386" s="29" t="n"/>
      <c r="Z386" s="29" t="n"/>
      <c r="AA386" s="29" t="n"/>
      <c r="AB386" s="29" t="n"/>
      <c r="AC386" s="29" t="n"/>
      <c r="AD386" s="42">
        <f>IF(OR(L386="",Q386="",R386=""),"",IF(H386="Long",(Q386-L386)*R386*IF(S386="",1,S386),(L386-Q386)*R386*IF(S386="",1,S386)))</f>
        <v/>
      </c>
      <c r="AE386" s="45" t="n"/>
      <c r="AF386" s="45" t="n"/>
      <c r="AG386" s="42">
        <f>IF(AD386="","",AD386-IF(AE386="",0,AE386)-IF(AF386="",0,AF386))</f>
        <v/>
      </c>
      <c r="AH386" s="26">
        <f>IFERROR(AG386/U386,"")</f>
        <v/>
      </c>
      <c r="AI386" s="29" t="n"/>
      <c r="AJ386" s="29" t="n"/>
      <c r="AK386" s="29" t="n"/>
      <c r="AL386" s="29" t="n"/>
    </row>
    <row r="387">
      <c r="A387" s="20">
        <f>IF(B387="","","TR-"&amp;TEXT(ROW()-2,"0000"))</f>
        <v/>
      </c>
      <c r="B387" s="39" t="n"/>
      <c r="C387" s="40" t="n"/>
      <c r="D387" s="40" t="n"/>
      <c r="E387" s="23" t="n"/>
      <c r="F387" s="23" t="n"/>
      <c r="G387" s="23" t="n"/>
      <c r="H387" s="23" t="n"/>
      <c r="I387" s="23" t="n"/>
      <c r="J387" s="23" t="n"/>
      <c r="K387" s="23" t="n"/>
      <c r="L387" s="41" t="n"/>
      <c r="M387" s="41" t="n"/>
      <c r="N387" s="41" t="n"/>
      <c r="O387" s="41" t="n"/>
      <c r="P387" s="41" t="n"/>
      <c r="Q387" s="41" t="n"/>
      <c r="R387" s="23" t="n"/>
      <c r="S387" s="23" t="n"/>
      <c r="T387" s="42">
        <f>IF(OR(L387="",M387=""),"",IFERROR(Settings!$B$3*Settings!$B$5,0))</f>
        <v/>
      </c>
      <c r="U387" s="42">
        <f>IF(OR(L387="",M387="",R387=""),"",ABS(L387-M387)*R387*IF(S387="",1,S387))</f>
        <v/>
      </c>
      <c r="V387" s="26">
        <f>IFERROR(ABS(N387-L387)/ABS(L387-M387),"")</f>
        <v/>
      </c>
      <c r="W387" s="23" t="n"/>
      <c r="X387" s="23" t="n"/>
      <c r="Y387" s="23" t="n"/>
      <c r="Z387" s="23" t="n"/>
      <c r="AA387" s="23" t="n"/>
      <c r="AB387" s="23" t="n"/>
      <c r="AC387" s="23" t="n"/>
      <c r="AD387" s="42">
        <f>IF(OR(L387="",Q387="",R387=""),"",IF(H387="Long",(Q387-L387)*R387*IF(S387="",1,S387),(L387-Q387)*R387*IF(S387="",1,S387)))</f>
        <v/>
      </c>
      <c r="AE387" s="41" t="n"/>
      <c r="AF387" s="41" t="n"/>
      <c r="AG387" s="42">
        <f>IF(AD387="","",AD387-IF(AE387="",0,AE387)-IF(AF387="",0,AF387))</f>
        <v/>
      </c>
      <c r="AH387" s="26">
        <f>IFERROR(AG387/U387,"")</f>
        <v/>
      </c>
      <c r="AI387" s="23" t="n"/>
      <c r="AJ387" s="23" t="n"/>
      <c r="AK387" s="23" t="n"/>
      <c r="AL387" s="23" t="n"/>
    </row>
    <row r="388">
      <c r="A388" s="20">
        <f>IF(B388="","","TR-"&amp;TEXT(ROW()-2,"0000"))</f>
        <v/>
      </c>
      <c r="B388" s="43" t="n"/>
      <c r="C388" s="44" t="n"/>
      <c r="D388" s="44" t="n"/>
      <c r="E388" s="29" t="n"/>
      <c r="F388" s="29" t="n"/>
      <c r="G388" s="29" t="n"/>
      <c r="H388" s="29" t="n"/>
      <c r="I388" s="29" t="n"/>
      <c r="J388" s="29" t="n"/>
      <c r="K388" s="29" t="n"/>
      <c r="L388" s="45" t="n"/>
      <c r="M388" s="45" t="n"/>
      <c r="N388" s="45" t="n"/>
      <c r="O388" s="45" t="n"/>
      <c r="P388" s="45" t="n"/>
      <c r="Q388" s="45" t="n"/>
      <c r="R388" s="29" t="n"/>
      <c r="S388" s="29" t="n"/>
      <c r="T388" s="42">
        <f>IF(OR(L388="",M388=""),"",IFERROR(Settings!$B$3*Settings!$B$5,0))</f>
        <v/>
      </c>
      <c r="U388" s="42">
        <f>IF(OR(L388="",M388="",R388=""),"",ABS(L388-M388)*R388*IF(S388="",1,S388))</f>
        <v/>
      </c>
      <c r="V388" s="26">
        <f>IFERROR(ABS(N388-L388)/ABS(L388-M388),"")</f>
        <v/>
      </c>
      <c r="W388" s="29" t="n"/>
      <c r="X388" s="29" t="n"/>
      <c r="Y388" s="29" t="n"/>
      <c r="Z388" s="29" t="n"/>
      <c r="AA388" s="29" t="n"/>
      <c r="AB388" s="29" t="n"/>
      <c r="AC388" s="29" t="n"/>
      <c r="AD388" s="42">
        <f>IF(OR(L388="",Q388="",R388=""),"",IF(H388="Long",(Q388-L388)*R388*IF(S388="",1,S388),(L388-Q388)*R388*IF(S388="",1,S388)))</f>
        <v/>
      </c>
      <c r="AE388" s="45" t="n"/>
      <c r="AF388" s="45" t="n"/>
      <c r="AG388" s="42">
        <f>IF(AD388="","",AD388-IF(AE388="",0,AE388)-IF(AF388="",0,AF388))</f>
        <v/>
      </c>
      <c r="AH388" s="26">
        <f>IFERROR(AG388/U388,"")</f>
        <v/>
      </c>
      <c r="AI388" s="29" t="n"/>
      <c r="AJ388" s="29" t="n"/>
      <c r="AK388" s="29" t="n"/>
      <c r="AL388" s="29" t="n"/>
    </row>
    <row r="389">
      <c r="A389" s="20">
        <f>IF(B389="","","TR-"&amp;TEXT(ROW()-2,"0000"))</f>
        <v/>
      </c>
      <c r="B389" s="39" t="n"/>
      <c r="C389" s="40" t="n"/>
      <c r="D389" s="40" t="n"/>
      <c r="E389" s="23" t="n"/>
      <c r="F389" s="23" t="n"/>
      <c r="G389" s="23" t="n"/>
      <c r="H389" s="23" t="n"/>
      <c r="I389" s="23" t="n"/>
      <c r="J389" s="23" t="n"/>
      <c r="K389" s="23" t="n"/>
      <c r="L389" s="41" t="n"/>
      <c r="M389" s="41" t="n"/>
      <c r="N389" s="41" t="n"/>
      <c r="O389" s="41" t="n"/>
      <c r="P389" s="41" t="n"/>
      <c r="Q389" s="41" t="n"/>
      <c r="R389" s="23" t="n"/>
      <c r="S389" s="23" t="n"/>
      <c r="T389" s="42">
        <f>IF(OR(L389="",M389=""),"",IFERROR(Settings!$B$3*Settings!$B$5,0))</f>
        <v/>
      </c>
      <c r="U389" s="42">
        <f>IF(OR(L389="",M389="",R389=""),"",ABS(L389-M389)*R389*IF(S389="",1,S389))</f>
        <v/>
      </c>
      <c r="V389" s="26">
        <f>IFERROR(ABS(N389-L389)/ABS(L389-M389),"")</f>
        <v/>
      </c>
      <c r="W389" s="23" t="n"/>
      <c r="X389" s="23" t="n"/>
      <c r="Y389" s="23" t="n"/>
      <c r="Z389" s="23" t="n"/>
      <c r="AA389" s="23" t="n"/>
      <c r="AB389" s="23" t="n"/>
      <c r="AC389" s="23" t="n"/>
      <c r="AD389" s="42">
        <f>IF(OR(L389="",Q389="",R389=""),"",IF(H389="Long",(Q389-L389)*R389*IF(S389="",1,S389),(L389-Q389)*R389*IF(S389="",1,S389)))</f>
        <v/>
      </c>
      <c r="AE389" s="41" t="n"/>
      <c r="AF389" s="41" t="n"/>
      <c r="AG389" s="42">
        <f>IF(AD389="","",AD389-IF(AE389="",0,AE389)-IF(AF389="",0,AF389))</f>
        <v/>
      </c>
      <c r="AH389" s="26">
        <f>IFERROR(AG389/U389,"")</f>
        <v/>
      </c>
      <c r="AI389" s="23" t="n"/>
      <c r="AJ389" s="23" t="n"/>
      <c r="AK389" s="23" t="n"/>
      <c r="AL389" s="23" t="n"/>
    </row>
    <row r="390">
      <c r="A390" s="20">
        <f>IF(B390="","","TR-"&amp;TEXT(ROW()-2,"0000"))</f>
        <v/>
      </c>
      <c r="B390" s="43" t="n"/>
      <c r="C390" s="44" t="n"/>
      <c r="D390" s="44" t="n"/>
      <c r="E390" s="29" t="n"/>
      <c r="F390" s="29" t="n"/>
      <c r="G390" s="29" t="n"/>
      <c r="H390" s="29" t="n"/>
      <c r="I390" s="29" t="n"/>
      <c r="J390" s="29" t="n"/>
      <c r="K390" s="29" t="n"/>
      <c r="L390" s="45" t="n"/>
      <c r="M390" s="45" t="n"/>
      <c r="N390" s="45" t="n"/>
      <c r="O390" s="45" t="n"/>
      <c r="P390" s="45" t="n"/>
      <c r="Q390" s="45" t="n"/>
      <c r="R390" s="29" t="n"/>
      <c r="S390" s="29" t="n"/>
      <c r="T390" s="42">
        <f>IF(OR(L390="",M390=""),"",IFERROR(Settings!$B$3*Settings!$B$5,0))</f>
        <v/>
      </c>
      <c r="U390" s="42">
        <f>IF(OR(L390="",M390="",R390=""),"",ABS(L390-M390)*R390*IF(S390="",1,S390))</f>
        <v/>
      </c>
      <c r="V390" s="26">
        <f>IFERROR(ABS(N390-L390)/ABS(L390-M390),"")</f>
        <v/>
      </c>
      <c r="W390" s="29" t="n"/>
      <c r="X390" s="29" t="n"/>
      <c r="Y390" s="29" t="n"/>
      <c r="Z390" s="29" t="n"/>
      <c r="AA390" s="29" t="n"/>
      <c r="AB390" s="29" t="n"/>
      <c r="AC390" s="29" t="n"/>
      <c r="AD390" s="42">
        <f>IF(OR(L390="",Q390="",R390=""),"",IF(H390="Long",(Q390-L390)*R390*IF(S390="",1,S390),(L390-Q390)*R390*IF(S390="",1,S390)))</f>
        <v/>
      </c>
      <c r="AE390" s="45" t="n"/>
      <c r="AF390" s="45" t="n"/>
      <c r="AG390" s="42">
        <f>IF(AD390="","",AD390-IF(AE390="",0,AE390)-IF(AF390="",0,AF390))</f>
        <v/>
      </c>
      <c r="AH390" s="26">
        <f>IFERROR(AG390/U390,"")</f>
        <v/>
      </c>
      <c r="AI390" s="29" t="n"/>
      <c r="AJ390" s="29" t="n"/>
      <c r="AK390" s="29" t="n"/>
      <c r="AL390" s="29" t="n"/>
    </row>
    <row r="391">
      <c r="A391" s="20">
        <f>IF(B391="","","TR-"&amp;TEXT(ROW()-2,"0000"))</f>
        <v/>
      </c>
      <c r="B391" s="39" t="n"/>
      <c r="C391" s="40" t="n"/>
      <c r="D391" s="40" t="n"/>
      <c r="E391" s="23" t="n"/>
      <c r="F391" s="23" t="n"/>
      <c r="G391" s="23" t="n"/>
      <c r="H391" s="23" t="n"/>
      <c r="I391" s="23" t="n"/>
      <c r="J391" s="23" t="n"/>
      <c r="K391" s="23" t="n"/>
      <c r="L391" s="41" t="n"/>
      <c r="M391" s="41" t="n"/>
      <c r="N391" s="41" t="n"/>
      <c r="O391" s="41" t="n"/>
      <c r="P391" s="41" t="n"/>
      <c r="Q391" s="41" t="n"/>
      <c r="R391" s="23" t="n"/>
      <c r="S391" s="23" t="n"/>
      <c r="T391" s="42">
        <f>IF(OR(L391="",M391=""),"",IFERROR(Settings!$B$3*Settings!$B$5,0))</f>
        <v/>
      </c>
      <c r="U391" s="42">
        <f>IF(OR(L391="",M391="",R391=""),"",ABS(L391-M391)*R391*IF(S391="",1,S391))</f>
        <v/>
      </c>
      <c r="V391" s="26">
        <f>IFERROR(ABS(N391-L391)/ABS(L391-M391),"")</f>
        <v/>
      </c>
      <c r="W391" s="23" t="n"/>
      <c r="X391" s="23" t="n"/>
      <c r="Y391" s="23" t="n"/>
      <c r="Z391" s="23" t="n"/>
      <c r="AA391" s="23" t="n"/>
      <c r="AB391" s="23" t="n"/>
      <c r="AC391" s="23" t="n"/>
      <c r="AD391" s="42">
        <f>IF(OR(L391="",Q391="",R391=""),"",IF(H391="Long",(Q391-L391)*R391*IF(S391="",1,S391),(L391-Q391)*R391*IF(S391="",1,S391)))</f>
        <v/>
      </c>
      <c r="AE391" s="41" t="n"/>
      <c r="AF391" s="41" t="n"/>
      <c r="AG391" s="42">
        <f>IF(AD391="","",AD391-IF(AE391="",0,AE391)-IF(AF391="",0,AF391))</f>
        <v/>
      </c>
      <c r="AH391" s="26">
        <f>IFERROR(AG391/U391,"")</f>
        <v/>
      </c>
      <c r="AI391" s="23" t="n"/>
      <c r="AJ391" s="23" t="n"/>
      <c r="AK391" s="23" t="n"/>
      <c r="AL391" s="23" t="n"/>
    </row>
    <row r="392">
      <c r="A392" s="20">
        <f>IF(B392="","","TR-"&amp;TEXT(ROW()-2,"0000"))</f>
        <v/>
      </c>
      <c r="B392" s="43" t="n"/>
      <c r="C392" s="44" t="n"/>
      <c r="D392" s="44" t="n"/>
      <c r="E392" s="29" t="n"/>
      <c r="F392" s="29" t="n"/>
      <c r="G392" s="29" t="n"/>
      <c r="H392" s="29" t="n"/>
      <c r="I392" s="29" t="n"/>
      <c r="J392" s="29" t="n"/>
      <c r="K392" s="29" t="n"/>
      <c r="L392" s="45" t="n"/>
      <c r="M392" s="45" t="n"/>
      <c r="N392" s="45" t="n"/>
      <c r="O392" s="45" t="n"/>
      <c r="P392" s="45" t="n"/>
      <c r="Q392" s="45" t="n"/>
      <c r="R392" s="29" t="n"/>
      <c r="S392" s="29" t="n"/>
      <c r="T392" s="42">
        <f>IF(OR(L392="",M392=""),"",IFERROR(Settings!$B$3*Settings!$B$5,0))</f>
        <v/>
      </c>
      <c r="U392" s="42">
        <f>IF(OR(L392="",M392="",R392=""),"",ABS(L392-M392)*R392*IF(S392="",1,S392))</f>
        <v/>
      </c>
      <c r="V392" s="26">
        <f>IFERROR(ABS(N392-L392)/ABS(L392-M392),"")</f>
        <v/>
      </c>
      <c r="W392" s="29" t="n"/>
      <c r="X392" s="29" t="n"/>
      <c r="Y392" s="29" t="n"/>
      <c r="Z392" s="29" t="n"/>
      <c r="AA392" s="29" t="n"/>
      <c r="AB392" s="29" t="n"/>
      <c r="AC392" s="29" t="n"/>
      <c r="AD392" s="42">
        <f>IF(OR(L392="",Q392="",R392=""),"",IF(H392="Long",(Q392-L392)*R392*IF(S392="",1,S392),(L392-Q392)*R392*IF(S392="",1,S392)))</f>
        <v/>
      </c>
      <c r="AE392" s="45" t="n"/>
      <c r="AF392" s="45" t="n"/>
      <c r="AG392" s="42">
        <f>IF(AD392="","",AD392-IF(AE392="",0,AE392)-IF(AF392="",0,AF392))</f>
        <v/>
      </c>
      <c r="AH392" s="26">
        <f>IFERROR(AG392/U392,"")</f>
        <v/>
      </c>
      <c r="AI392" s="29" t="n"/>
      <c r="AJ392" s="29" t="n"/>
      <c r="AK392" s="29" t="n"/>
      <c r="AL392" s="29" t="n"/>
    </row>
    <row r="393">
      <c r="A393" s="20">
        <f>IF(B393="","","TR-"&amp;TEXT(ROW()-2,"0000"))</f>
        <v/>
      </c>
      <c r="B393" s="39" t="n"/>
      <c r="C393" s="40" t="n"/>
      <c r="D393" s="40" t="n"/>
      <c r="E393" s="23" t="n"/>
      <c r="F393" s="23" t="n"/>
      <c r="G393" s="23" t="n"/>
      <c r="H393" s="23" t="n"/>
      <c r="I393" s="23" t="n"/>
      <c r="J393" s="23" t="n"/>
      <c r="K393" s="23" t="n"/>
      <c r="L393" s="41" t="n"/>
      <c r="M393" s="41" t="n"/>
      <c r="N393" s="41" t="n"/>
      <c r="O393" s="41" t="n"/>
      <c r="P393" s="41" t="n"/>
      <c r="Q393" s="41" t="n"/>
      <c r="R393" s="23" t="n"/>
      <c r="S393" s="23" t="n"/>
      <c r="T393" s="42">
        <f>IF(OR(L393="",M393=""),"",IFERROR(Settings!$B$3*Settings!$B$5,0))</f>
        <v/>
      </c>
      <c r="U393" s="42">
        <f>IF(OR(L393="",M393="",R393=""),"",ABS(L393-M393)*R393*IF(S393="",1,S393))</f>
        <v/>
      </c>
      <c r="V393" s="26">
        <f>IFERROR(ABS(N393-L393)/ABS(L393-M393),"")</f>
        <v/>
      </c>
      <c r="W393" s="23" t="n"/>
      <c r="X393" s="23" t="n"/>
      <c r="Y393" s="23" t="n"/>
      <c r="Z393" s="23" t="n"/>
      <c r="AA393" s="23" t="n"/>
      <c r="AB393" s="23" t="n"/>
      <c r="AC393" s="23" t="n"/>
      <c r="AD393" s="42">
        <f>IF(OR(L393="",Q393="",R393=""),"",IF(H393="Long",(Q393-L393)*R393*IF(S393="",1,S393),(L393-Q393)*R393*IF(S393="",1,S393)))</f>
        <v/>
      </c>
      <c r="AE393" s="41" t="n"/>
      <c r="AF393" s="41" t="n"/>
      <c r="AG393" s="42">
        <f>IF(AD393="","",AD393-IF(AE393="",0,AE393)-IF(AF393="",0,AF393))</f>
        <v/>
      </c>
      <c r="AH393" s="26">
        <f>IFERROR(AG393/U393,"")</f>
        <v/>
      </c>
      <c r="AI393" s="23" t="n"/>
      <c r="AJ393" s="23" t="n"/>
      <c r="AK393" s="23" t="n"/>
      <c r="AL393" s="23" t="n"/>
    </row>
    <row r="394">
      <c r="A394" s="20">
        <f>IF(B394="","","TR-"&amp;TEXT(ROW()-2,"0000"))</f>
        <v/>
      </c>
      <c r="B394" s="43" t="n"/>
      <c r="C394" s="44" t="n"/>
      <c r="D394" s="44" t="n"/>
      <c r="E394" s="29" t="n"/>
      <c r="F394" s="29" t="n"/>
      <c r="G394" s="29" t="n"/>
      <c r="H394" s="29" t="n"/>
      <c r="I394" s="29" t="n"/>
      <c r="J394" s="29" t="n"/>
      <c r="K394" s="29" t="n"/>
      <c r="L394" s="45" t="n"/>
      <c r="M394" s="45" t="n"/>
      <c r="N394" s="45" t="n"/>
      <c r="O394" s="45" t="n"/>
      <c r="P394" s="45" t="n"/>
      <c r="Q394" s="45" t="n"/>
      <c r="R394" s="29" t="n"/>
      <c r="S394" s="29" t="n"/>
      <c r="T394" s="42">
        <f>IF(OR(L394="",M394=""),"",IFERROR(Settings!$B$3*Settings!$B$5,0))</f>
        <v/>
      </c>
      <c r="U394" s="42">
        <f>IF(OR(L394="",M394="",R394=""),"",ABS(L394-M394)*R394*IF(S394="",1,S394))</f>
        <v/>
      </c>
      <c r="V394" s="26">
        <f>IFERROR(ABS(N394-L394)/ABS(L394-M394),"")</f>
        <v/>
      </c>
      <c r="W394" s="29" t="n"/>
      <c r="X394" s="29" t="n"/>
      <c r="Y394" s="29" t="n"/>
      <c r="Z394" s="29" t="n"/>
      <c r="AA394" s="29" t="n"/>
      <c r="AB394" s="29" t="n"/>
      <c r="AC394" s="29" t="n"/>
      <c r="AD394" s="42">
        <f>IF(OR(L394="",Q394="",R394=""),"",IF(H394="Long",(Q394-L394)*R394*IF(S394="",1,S394),(L394-Q394)*R394*IF(S394="",1,S394)))</f>
        <v/>
      </c>
      <c r="AE394" s="45" t="n"/>
      <c r="AF394" s="45" t="n"/>
      <c r="AG394" s="42">
        <f>IF(AD394="","",AD394-IF(AE394="",0,AE394)-IF(AF394="",0,AF394))</f>
        <v/>
      </c>
      <c r="AH394" s="26">
        <f>IFERROR(AG394/U394,"")</f>
        <v/>
      </c>
      <c r="AI394" s="29" t="n"/>
      <c r="AJ394" s="29" t="n"/>
      <c r="AK394" s="29" t="n"/>
      <c r="AL394" s="29" t="n"/>
    </row>
    <row r="395">
      <c r="A395" s="20">
        <f>IF(B395="","","TR-"&amp;TEXT(ROW()-2,"0000"))</f>
        <v/>
      </c>
      <c r="B395" s="39" t="n"/>
      <c r="C395" s="40" t="n"/>
      <c r="D395" s="40" t="n"/>
      <c r="E395" s="23" t="n"/>
      <c r="F395" s="23" t="n"/>
      <c r="G395" s="23" t="n"/>
      <c r="H395" s="23" t="n"/>
      <c r="I395" s="23" t="n"/>
      <c r="J395" s="23" t="n"/>
      <c r="K395" s="23" t="n"/>
      <c r="L395" s="41" t="n"/>
      <c r="M395" s="41" t="n"/>
      <c r="N395" s="41" t="n"/>
      <c r="O395" s="41" t="n"/>
      <c r="P395" s="41" t="n"/>
      <c r="Q395" s="41" t="n"/>
      <c r="R395" s="23" t="n"/>
      <c r="S395" s="23" t="n"/>
      <c r="T395" s="42">
        <f>IF(OR(L395="",M395=""),"",IFERROR(Settings!$B$3*Settings!$B$5,0))</f>
        <v/>
      </c>
      <c r="U395" s="42">
        <f>IF(OR(L395="",M395="",R395=""),"",ABS(L395-M395)*R395*IF(S395="",1,S395))</f>
        <v/>
      </c>
      <c r="V395" s="26">
        <f>IFERROR(ABS(N395-L395)/ABS(L395-M395),"")</f>
        <v/>
      </c>
      <c r="W395" s="23" t="n"/>
      <c r="X395" s="23" t="n"/>
      <c r="Y395" s="23" t="n"/>
      <c r="Z395" s="23" t="n"/>
      <c r="AA395" s="23" t="n"/>
      <c r="AB395" s="23" t="n"/>
      <c r="AC395" s="23" t="n"/>
      <c r="AD395" s="42">
        <f>IF(OR(L395="",Q395="",R395=""),"",IF(H395="Long",(Q395-L395)*R395*IF(S395="",1,S395),(L395-Q395)*R395*IF(S395="",1,S395)))</f>
        <v/>
      </c>
      <c r="AE395" s="41" t="n"/>
      <c r="AF395" s="41" t="n"/>
      <c r="AG395" s="42">
        <f>IF(AD395="","",AD395-IF(AE395="",0,AE395)-IF(AF395="",0,AF395))</f>
        <v/>
      </c>
      <c r="AH395" s="26">
        <f>IFERROR(AG395/U395,"")</f>
        <v/>
      </c>
      <c r="AI395" s="23" t="n"/>
      <c r="AJ395" s="23" t="n"/>
      <c r="AK395" s="23" t="n"/>
      <c r="AL395" s="23" t="n"/>
    </row>
    <row r="396">
      <c r="A396" s="20">
        <f>IF(B396="","","TR-"&amp;TEXT(ROW()-2,"0000"))</f>
        <v/>
      </c>
      <c r="B396" s="43" t="n"/>
      <c r="C396" s="44" t="n"/>
      <c r="D396" s="44" t="n"/>
      <c r="E396" s="29" t="n"/>
      <c r="F396" s="29" t="n"/>
      <c r="G396" s="29" t="n"/>
      <c r="H396" s="29" t="n"/>
      <c r="I396" s="29" t="n"/>
      <c r="J396" s="29" t="n"/>
      <c r="K396" s="29" t="n"/>
      <c r="L396" s="45" t="n"/>
      <c r="M396" s="45" t="n"/>
      <c r="N396" s="45" t="n"/>
      <c r="O396" s="45" t="n"/>
      <c r="P396" s="45" t="n"/>
      <c r="Q396" s="45" t="n"/>
      <c r="R396" s="29" t="n"/>
      <c r="S396" s="29" t="n"/>
      <c r="T396" s="42">
        <f>IF(OR(L396="",M396=""),"",IFERROR(Settings!$B$3*Settings!$B$5,0))</f>
        <v/>
      </c>
      <c r="U396" s="42">
        <f>IF(OR(L396="",M396="",R396=""),"",ABS(L396-M396)*R396*IF(S396="",1,S396))</f>
        <v/>
      </c>
      <c r="V396" s="26">
        <f>IFERROR(ABS(N396-L396)/ABS(L396-M396),"")</f>
        <v/>
      </c>
      <c r="W396" s="29" t="n"/>
      <c r="X396" s="29" t="n"/>
      <c r="Y396" s="29" t="n"/>
      <c r="Z396" s="29" t="n"/>
      <c r="AA396" s="29" t="n"/>
      <c r="AB396" s="29" t="n"/>
      <c r="AC396" s="29" t="n"/>
      <c r="AD396" s="42">
        <f>IF(OR(L396="",Q396="",R396=""),"",IF(H396="Long",(Q396-L396)*R396*IF(S396="",1,S396),(L396-Q396)*R396*IF(S396="",1,S396)))</f>
        <v/>
      </c>
      <c r="AE396" s="45" t="n"/>
      <c r="AF396" s="45" t="n"/>
      <c r="AG396" s="42">
        <f>IF(AD396="","",AD396-IF(AE396="",0,AE396)-IF(AF396="",0,AF396))</f>
        <v/>
      </c>
      <c r="AH396" s="26">
        <f>IFERROR(AG396/U396,"")</f>
        <v/>
      </c>
      <c r="AI396" s="29" t="n"/>
      <c r="AJ396" s="29" t="n"/>
      <c r="AK396" s="29" t="n"/>
      <c r="AL396" s="29" t="n"/>
    </row>
    <row r="397">
      <c r="A397" s="20">
        <f>IF(B397="","","TR-"&amp;TEXT(ROW()-2,"0000"))</f>
        <v/>
      </c>
      <c r="B397" s="39" t="n"/>
      <c r="C397" s="40" t="n"/>
      <c r="D397" s="40" t="n"/>
      <c r="E397" s="23" t="n"/>
      <c r="F397" s="23" t="n"/>
      <c r="G397" s="23" t="n"/>
      <c r="H397" s="23" t="n"/>
      <c r="I397" s="23" t="n"/>
      <c r="J397" s="23" t="n"/>
      <c r="K397" s="23" t="n"/>
      <c r="L397" s="41" t="n"/>
      <c r="M397" s="41" t="n"/>
      <c r="N397" s="41" t="n"/>
      <c r="O397" s="41" t="n"/>
      <c r="P397" s="41" t="n"/>
      <c r="Q397" s="41" t="n"/>
      <c r="R397" s="23" t="n"/>
      <c r="S397" s="23" t="n"/>
      <c r="T397" s="42">
        <f>IF(OR(L397="",M397=""),"",IFERROR(Settings!$B$3*Settings!$B$5,0))</f>
        <v/>
      </c>
      <c r="U397" s="42">
        <f>IF(OR(L397="",M397="",R397=""),"",ABS(L397-M397)*R397*IF(S397="",1,S397))</f>
        <v/>
      </c>
      <c r="V397" s="26">
        <f>IFERROR(ABS(N397-L397)/ABS(L397-M397),"")</f>
        <v/>
      </c>
      <c r="W397" s="23" t="n"/>
      <c r="X397" s="23" t="n"/>
      <c r="Y397" s="23" t="n"/>
      <c r="Z397" s="23" t="n"/>
      <c r="AA397" s="23" t="n"/>
      <c r="AB397" s="23" t="n"/>
      <c r="AC397" s="23" t="n"/>
      <c r="AD397" s="42">
        <f>IF(OR(L397="",Q397="",R397=""),"",IF(H397="Long",(Q397-L397)*R397*IF(S397="",1,S397),(L397-Q397)*R397*IF(S397="",1,S397)))</f>
        <v/>
      </c>
      <c r="AE397" s="41" t="n"/>
      <c r="AF397" s="41" t="n"/>
      <c r="AG397" s="42">
        <f>IF(AD397="","",AD397-IF(AE397="",0,AE397)-IF(AF397="",0,AF397))</f>
        <v/>
      </c>
      <c r="AH397" s="26">
        <f>IFERROR(AG397/U397,"")</f>
        <v/>
      </c>
      <c r="AI397" s="23" t="n"/>
      <c r="AJ397" s="23" t="n"/>
      <c r="AK397" s="23" t="n"/>
      <c r="AL397" s="23" t="n"/>
    </row>
    <row r="398">
      <c r="A398" s="20">
        <f>IF(B398="","","TR-"&amp;TEXT(ROW()-2,"0000"))</f>
        <v/>
      </c>
      <c r="B398" s="43" t="n"/>
      <c r="C398" s="44" t="n"/>
      <c r="D398" s="44" t="n"/>
      <c r="E398" s="29" t="n"/>
      <c r="F398" s="29" t="n"/>
      <c r="G398" s="29" t="n"/>
      <c r="H398" s="29" t="n"/>
      <c r="I398" s="29" t="n"/>
      <c r="J398" s="29" t="n"/>
      <c r="K398" s="29" t="n"/>
      <c r="L398" s="45" t="n"/>
      <c r="M398" s="45" t="n"/>
      <c r="N398" s="45" t="n"/>
      <c r="O398" s="45" t="n"/>
      <c r="P398" s="45" t="n"/>
      <c r="Q398" s="45" t="n"/>
      <c r="R398" s="29" t="n"/>
      <c r="S398" s="29" t="n"/>
      <c r="T398" s="42">
        <f>IF(OR(L398="",M398=""),"",IFERROR(Settings!$B$3*Settings!$B$5,0))</f>
        <v/>
      </c>
      <c r="U398" s="42">
        <f>IF(OR(L398="",M398="",R398=""),"",ABS(L398-M398)*R398*IF(S398="",1,S398))</f>
        <v/>
      </c>
      <c r="V398" s="26">
        <f>IFERROR(ABS(N398-L398)/ABS(L398-M398),"")</f>
        <v/>
      </c>
      <c r="W398" s="29" t="n"/>
      <c r="X398" s="29" t="n"/>
      <c r="Y398" s="29" t="n"/>
      <c r="Z398" s="29" t="n"/>
      <c r="AA398" s="29" t="n"/>
      <c r="AB398" s="29" t="n"/>
      <c r="AC398" s="29" t="n"/>
      <c r="AD398" s="42">
        <f>IF(OR(L398="",Q398="",R398=""),"",IF(H398="Long",(Q398-L398)*R398*IF(S398="",1,S398),(L398-Q398)*R398*IF(S398="",1,S398)))</f>
        <v/>
      </c>
      <c r="AE398" s="45" t="n"/>
      <c r="AF398" s="45" t="n"/>
      <c r="AG398" s="42">
        <f>IF(AD398="","",AD398-IF(AE398="",0,AE398)-IF(AF398="",0,AF398))</f>
        <v/>
      </c>
      <c r="AH398" s="26">
        <f>IFERROR(AG398/U398,"")</f>
        <v/>
      </c>
      <c r="AI398" s="29" t="n"/>
      <c r="AJ398" s="29" t="n"/>
      <c r="AK398" s="29" t="n"/>
      <c r="AL398" s="29" t="n"/>
    </row>
    <row r="399">
      <c r="A399" s="20">
        <f>IF(B399="","","TR-"&amp;TEXT(ROW()-2,"0000"))</f>
        <v/>
      </c>
      <c r="B399" s="39" t="n"/>
      <c r="C399" s="40" t="n"/>
      <c r="D399" s="40" t="n"/>
      <c r="E399" s="23" t="n"/>
      <c r="F399" s="23" t="n"/>
      <c r="G399" s="23" t="n"/>
      <c r="H399" s="23" t="n"/>
      <c r="I399" s="23" t="n"/>
      <c r="J399" s="23" t="n"/>
      <c r="K399" s="23" t="n"/>
      <c r="L399" s="41" t="n"/>
      <c r="M399" s="41" t="n"/>
      <c r="N399" s="41" t="n"/>
      <c r="O399" s="41" t="n"/>
      <c r="P399" s="41" t="n"/>
      <c r="Q399" s="41" t="n"/>
      <c r="R399" s="23" t="n"/>
      <c r="S399" s="23" t="n"/>
      <c r="T399" s="42">
        <f>IF(OR(L399="",M399=""),"",IFERROR(Settings!$B$3*Settings!$B$5,0))</f>
        <v/>
      </c>
      <c r="U399" s="42">
        <f>IF(OR(L399="",M399="",R399=""),"",ABS(L399-M399)*R399*IF(S399="",1,S399))</f>
        <v/>
      </c>
      <c r="V399" s="26">
        <f>IFERROR(ABS(N399-L399)/ABS(L399-M399),"")</f>
        <v/>
      </c>
      <c r="W399" s="23" t="n"/>
      <c r="X399" s="23" t="n"/>
      <c r="Y399" s="23" t="n"/>
      <c r="Z399" s="23" t="n"/>
      <c r="AA399" s="23" t="n"/>
      <c r="AB399" s="23" t="n"/>
      <c r="AC399" s="23" t="n"/>
      <c r="AD399" s="42">
        <f>IF(OR(L399="",Q399="",R399=""),"",IF(H399="Long",(Q399-L399)*R399*IF(S399="",1,S399),(L399-Q399)*R399*IF(S399="",1,S399)))</f>
        <v/>
      </c>
      <c r="AE399" s="41" t="n"/>
      <c r="AF399" s="41" t="n"/>
      <c r="AG399" s="42">
        <f>IF(AD399="","",AD399-IF(AE399="",0,AE399)-IF(AF399="",0,AF399))</f>
        <v/>
      </c>
      <c r="AH399" s="26">
        <f>IFERROR(AG399/U399,"")</f>
        <v/>
      </c>
      <c r="AI399" s="23" t="n"/>
      <c r="AJ399" s="23" t="n"/>
      <c r="AK399" s="23" t="n"/>
      <c r="AL399" s="23" t="n"/>
    </row>
    <row r="400">
      <c r="A400" s="20">
        <f>IF(B400="","","TR-"&amp;TEXT(ROW()-2,"0000"))</f>
        <v/>
      </c>
      <c r="B400" s="43" t="n"/>
      <c r="C400" s="44" t="n"/>
      <c r="D400" s="44" t="n"/>
      <c r="E400" s="29" t="n"/>
      <c r="F400" s="29" t="n"/>
      <c r="G400" s="29" t="n"/>
      <c r="H400" s="29" t="n"/>
      <c r="I400" s="29" t="n"/>
      <c r="J400" s="29" t="n"/>
      <c r="K400" s="29" t="n"/>
      <c r="L400" s="45" t="n"/>
      <c r="M400" s="45" t="n"/>
      <c r="N400" s="45" t="n"/>
      <c r="O400" s="45" t="n"/>
      <c r="P400" s="45" t="n"/>
      <c r="Q400" s="45" t="n"/>
      <c r="R400" s="29" t="n"/>
      <c r="S400" s="29" t="n"/>
      <c r="T400" s="42">
        <f>IF(OR(L400="",M400=""),"",IFERROR(Settings!$B$3*Settings!$B$5,0))</f>
        <v/>
      </c>
      <c r="U400" s="42">
        <f>IF(OR(L400="",M400="",R400=""),"",ABS(L400-M400)*R400*IF(S400="",1,S400))</f>
        <v/>
      </c>
      <c r="V400" s="26">
        <f>IFERROR(ABS(N400-L400)/ABS(L400-M400),"")</f>
        <v/>
      </c>
      <c r="W400" s="29" t="n"/>
      <c r="X400" s="29" t="n"/>
      <c r="Y400" s="29" t="n"/>
      <c r="Z400" s="29" t="n"/>
      <c r="AA400" s="29" t="n"/>
      <c r="AB400" s="29" t="n"/>
      <c r="AC400" s="29" t="n"/>
      <c r="AD400" s="42">
        <f>IF(OR(L400="",Q400="",R400=""),"",IF(H400="Long",(Q400-L400)*R400*IF(S400="",1,S400),(L400-Q400)*R400*IF(S400="",1,S400)))</f>
        <v/>
      </c>
      <c r="AE400" s="45" t="n"/>
      <c r="AF400" s="45" t="n"/>
      <c r="AG400" s="42">
        <f>IF(AD400="","",AD400-IF(AE400="",0,AE400)-IF(AF400="",0,AF400))</f>
        <v/>
      </c>
      <c r="AH400" s="26">
        <f>IFERROR(AG400/U400,"")</f>
        <v/>
      </c>
      <c r="AI400" s="29" t="n"/>
      <c r="AJ400" s="29" t="n"/>
      <c r="AK400" s="29" t="n"/>
      <c r="AL400" s="29" t="n"/>
    </row>
    <row r="401">
      <c r="A401" s="20">
        <f>IF(B401="","","TR-"&amp;TEXT(ROW()-2,"0000"))</f>
        <v/>
      </c>
      <c r="B401" s="39" t="n"/>
      <c r="C401" s="40" t="n"/>
      <c r="D401" s="40" t="n"/>
      <c r="E401" s="23" t="n"/>
      <c r="F401" s="23" t="n"/>
      <c r="G401" s="23" t="n"/>
      <c r="H401" s="23" t="n"/>
      <c r="I401" s="23" t="n"/>
      <c r="J401" s="23" t="n"/>
      <c r="K401" s="23" t="n"/>
      <c r="L401" s="41" t="n"/>
      <c r="M401" s="41" t="n"/>
      <c r="N401" s="41" t="n"/>
      <c r="O401" s="41" t="n"/>
      <c r="P401" s="41" t="n"/>
      <c r="Q401" s="41" t="n"/>
      <c r="R401" s="23" t="n"/>
      <c r="S401" s="23" t="n"/>
      <c r="T401" s="42">
        <f>IF(OR(L401="",M401=""),"",IFERROR(Settings!$B$3*Settings!$B$5,0))</f>
        <v/>
      </c>
      <c r="U401" s="42">
        <f>IF(OR(L401="",M401="",R401=""),"",ABS(L401-M401)*R401*IF(S401="",1,S401))</f>
        <v/>
      </c>
      <c r="V401" s="26">
        <f>IFERROR(ABS(N401-L401)/ABS(L401-M401),"")</f>
        <v/>
      </c>
      <c r="W401" s="23" t="n"/>
      <c r="X401" s="23" t="n"/>
      <c r="Y401" s="23" t="n"/>
      <c r="Z401" s="23" t="n"/>
      <c r="AA401" s="23" t="n"/>
      <c r="AB401" s="23" t="n"/>
      <c r="AC401" s="23" t="n"/>
      <c r="AD401" s="42">
        <f>IF(OR(L401="",Q401="",R401=""),"",IF(H401="Long",(Q401-L401)*R401*IF(S401="",1,S401),(L401-Q401)*R401*IF(S401="",1,S401)))</f>
        <v/>
      </c>
      <c r="AE401" s="41" t="n"/>
      <c r="AF401" s="41" t="n"/>
      <c r="AG401" s="42">
        <f>IF(AD401="","",AD401-IF(AE401="",0,AE401)-IF(AF401="",0,AF401))</f>
        <v/>
      </c>
      <c r="AH401" s="26">
        <f>IFERROR(AG401/U401,"")</f>
        <v/>
      </c>
      <c r="AI401" s="23" t="n"/>
      <c r="AJ401" s="23" t="n"/>
      <c r="AK401" s="23" t="n"/>
      <c r="AL401" s="23" t="n"/>
    </row>
    <row r="402">
      <c r="A402" s="20">
        <f>IF(B402="","","TR-"&amp;TEXT(ROW()-2,"0000"))</f>
        <v/>
      </c>
      <c r="B402" s="43" t="n"/>
      <c r="C402" s="44" t="n"/>
      <c r="D402" s="44" t="n"/>
      <c r="E402" s="29" t="n"/>
      <c r="F402" s="29" t="n"/>
      <c r="G402" s="29" t="n"/>
      <c r="H402" s="29" t="n"/>
      <c r="I402" s="29" t="n"/>
      <c r="J402" s="29" t="n"/>
      <c r="K402" s="29" t="n"/>
      <c r="L402" s="45" t="n"/>
      <c r="M402" s="45" t="n"/>
      <c r="N402" s="45" t="n"/>
      <c r="O402" s="45" t="n"/>
      <c r="P402" s="45" t="n"/>
      <c r="Q402" s="45" t="n"/>
      <c r="R402" s="29" t="n"/>
      <c r="S402" s="29" t="n"/>
      <c r="T402" s="42">
        <f>IF(OR(L402="",M402=""),"",IFERROR(Settings!$B$3*Settings!$B$5,0))</f>
        <v/>
      </c>
      <c r="U402" s="42">
        <f>IF(OR(L402="",M402="",R402=""),"",ABS(L402-M402)*R402*IF(S402="",1,S402))</f>
        <v/>
      </c>
      <c r="V402" s="26">
        <f>IFERROR(ABS(N402-L402)/ABS(L402-M402),"")</f>
        <v/>
      </c>
      <c r="W402" s="29" t="n"/>
      <c r="X402" s="29" t="n"/>
      <c r="Y402" s="29" t="n"/>
      <c r="Z402" s="29" t="n"/>
      <c r="AA402" s="29" t="n"/>
      <c r="AB402" s="29" t="n"/>
      <c r="AC402" s="29" t="n"/>
      <c r="AD402" s="42">
        <f>IF(OR(L402="",Q402="",R402=""),"",IF(H402="Long",(Q402-L402)*R402*IF(S402="",1,S402),(L402-Q402)*R402*IF(S402="",1,S402)))</f>
        <v/>
      </c>
      <c r="AE402" s="45" t="n"/>
      <c r="AF402" s="45" t="n"/>
      <c r="AG402" s="42">
        <f>IF(AD402="","",AD402-IF(AE402="",0,AE402)-IF(AF402="",0,AF402))</f>
        <v/>
      </c>
      <c r="AH402" s="26">
        <f>IFERROR(AG402/U402,"")</f>
        <v/>
      </c>
      <c r="AI402" s="29" t="n"/>
      <c r="AJ402" s="29" t="n"/>
      <c r="AK402" s="29" t="n"/>
      <c r="AL402" s="29" t="n"/>
    </row>
    <row r="403">
      <c r="A403" s="20">
        <f>IF(B403="","","TR-"&amp;TEXT(ROW()-2,"0000"))</f>
        <v/>
      </c>
      <c r="B403" s="39" t="n"/>
      <c r="C403" s="40" t="n"/>
      <c r="D403" s="40" t="n"/>
      <c r="E403" s="23" t="n"/>
      <c r="F403" s="23" t="n"/>
      <c r="G403" s="23" t="n"/>
      <c r="H403" s="23" t="n"/>
      <c r="I403" s="23" t="n"/>
      <c r="J403" s="23" t="n"/>
      <c r="K403" s="23" t="n"/>
      <c r="L403" s="41" t="n"/>
      <c r="M403" s="41" t="n"/>
      <c r="N403" s="41" t="n"/>
      <c r="O403" s="41" t="n"/>
      <c r="P403" s="41" t="n"/>
      <c r="Q403" s="41" t="n"/>
      <c r="R403" s="23" t="n"/>
      <c r="S403" s="23" t="n"/>
      <c r="T403" s="42">
        <f>IF(OR(L403="",M403=""),"",IFERROR(Settings!$B$3*Settings!$B$5,0))</f>
        <v/>
      </c>
      <c r="U403" s="42">
        <f>IF(OR(L403="",M403="",R403=""),"",ABS(L403-M403)*R403*IF(S403="",1,S403))</f>
        <v/>
      </c>
      <c r="V403" s="26">
        <f>IFERROR(ABS(N403-L403)/ABS(L403-M403),"")</f>
        <v/>
      </c>
      <c r="W403" s="23" t="n"/>
      <c r="X403" s="23" t="n"/>
      <c r="Y403" s="23" t="n"/>
      <c r="Z403" s="23" t="n"/>
      <c r="AA403" s="23" t="n"/>
      <c r="AB403" s="23" t="n"/>
      <c r="AC403" s="23" t="n"/>
      <c r="AD403" s="42">
        <f>IF(OR(L403="",Q403="",R403=""),"",IF(H403="Long",(Q403-L403)*R403*IF(S403="",1,S403),(L403-Q403)*R403*IF(S403="",1,S403)))</f>
        <v/>
      </c>
      <c r="AE403" s="41" t="n"/>
      <c r="AF403" s="41" t="n"/>
      <c r="AG403" s="42">
        <f>IF(AD403="","",AD403-IF(AE403="",0,AE403)-IF(AF403="",0,AF403))</f>
        <v/>
      </c>
      <c r="AH403" s="26">
        <f>IFERROR(AG403/U403,"")</f>
        <v/>
      </c>
      <c r="AI403" s="23" t="n"/>
      <c r="AJ403" s="23" t="n"/>
      <c r="AK403" s="23" t="n"/>
      <c r="AL403" s="23" t="n"/>
    </row>
    <row r="404">
      <c r="A404" s="20">
        <f>IF(B404="","","TR-"&amp;TEXT(ROW()-2,"0000"))</f>
        <v/>
      </c>
      <c r="B404" s="43" t="n"/>
      <c r="C404" s="44" t="n"/>
      <c r="D404" s="44" t="n"/>
      <c r="E404" s="29" t="n"/>
      <c r="F404" s="29" t="n"/>
      <c r="G404" s="29" t="n"/>
      <c r="H404" s="29" t="n"/>
      <c r="I404" s="29" t="n"/>
      <c r="J404" s="29" t="n"/>
      <c r="K404" s="29" t="n"/>
      <c r="L404" s="45" t="n"/>
      <c r="M404" s="45" t="n"/>
      <c r="N404" s="45" t="n"/>
      <c r="O404" s="45" t="n"/>
      <c r="P404" s="45" t="n"/>
      <c r="Q404" s="45" t="n"/>
      <c r="R404" s="29" t="n"/>
      <c r="S404" s="29" t="n"/>
      <c r="T404" s="42">
        <f>IF(OR(L404="",M404=""),"",IFERROR(Settings!$B$3*Settings!$B$5,0))</f>
        <v/>
      </c>
      <c r="U404" s="42">
        <f>IF(OR(L404="",M404="",R404=""),"",ABS(L404-M404)*R404*IF(S404="",1,S404))</f>
        <v/>
      </c>
      <c r="V404" s="26">
        <f>IFERROR(ABS(N404-L404)/ABS(L404-M404),"")</f>
        <v/>
      </c>
      <c r="W404" s="29" t="n"/>
      <c r="X404" s="29" t="n"/>
      <c r="Y404" s="29" t="n"/>
      <c r="Z404" s="29" t="n"/>
      <c r="AA404" s="29" t="n"/>
      <c r="AB404" s="29" t="n"/>
      <c r="AC404" s="29" t="n"/>
      <c r="AD404" s="42">
        <f>IF(OR(L404="",Q404="",R404=""),"",IF(H404="Long",(Q404-L404)*R404*IF(S404="",1,S404),(L404-Q404)*R404*IF(S404="",1,S404)))</f>
        <v/>
      </c>
      <c r="AE404" s="45" t="n"/>
      <c r="AF404" s="45" t="n"/>
      <c r="AG404" s="42">
        <f>IF(AD404="","",AD404-IF(AE404="",0,AE404)-IF(AF404="",0,AF404))</f>
        <v/>
      </c>
      <c r="AH404" s="26">
        <f>IFERROR(AG404/U404,"")</f>
        <v/>
      </c>
      <c r="AI404" s="29" t="n"/>
      <c r="AJ404" s="29" t="n"/>
      <c r="AK404" s="29" t="n"/>
      <c r="AL404" s="29" t="n"/>
    </row>
    <row r="405">
      <c r="A405" s="20">
        <f>IF(B405="","","TR-"&amp;TEXT(ROW()-2,"0000"))</f>
        <v/>
      </c>
      <c r="B405" s="39" t="n"/>
      <c r="C405" s="40" t="n"/>
      <c r="D405" s="40" t="n"/>
      <c r="E405" s="23" t="n"/>
      <c r="F405" s="23" t="n"/>
      <c r="G405" s="23" t="n"/>
      <c r="H405" s="23" t="n"/>
      <c r="I405" s="23" t="n"/>
      <c r="J405" s="23" t="n"/>
      <c r="K405" s="23" t="n"/>
      <c r="L405" s="41" t="n"/>
      <c r="M405" s="41" t="n"/>
      <c r="N405" s="41" t="n"/>
      <c r="O405" s="41" t="n"/>
      <c r="P405" s="41" t="n"/>
      <c r="Q405" s="41" t="n"/>
      <c r="R405" s="23" t="n"/>
      <c r="S405" s="23" t="n"/>
      <c r="T405" s="42">
        <f>IF(OR(L405="",M405=""),"",IFERROR(Settings!$B$3*Settings!$B$5,0))</f>
        <v/>
      </c>
      <c r="U405" s="42">
        <f>IF(OR(L405="",M405="",R405=""),"",ABS(L405-M405)*R405*IF(S405="",1,S405))</f>
        <v/>
      </c>
      <c r="V405" s="26">
        <f>IFERROR(ABS(N405-L405)/ABS(L405-M405),"")</f>
        <v/>
      </c>
      <c r="W405" s="23" t="n"/>
      <c r="X405" s="23" t="n"/>
      <c r="Y405" s="23" t="n"/>
      <c r="Z405" s="23" t="n"/>
      <c r="AA405" s="23" t="n"/>
      <c r="AB405" s="23" t="n"/>
      <c r="AC405" s="23" t="n"/>
      <c r="AD405" s="42">
        <f>IF(OR(L405="",Q405="",R405=""),"",IF(H405="Long",(Q405-L405)*R405*IF(S405="",1,S405),(L405-Q405)*R405*IF(S405="",1,S405)))</f>
        <v/>
      </c>
      <c r="AE405" s="41" t="n"/>
      <c r="AF405" s="41" t="n"/>
      <c r="AG405" s="42">
        <f>IF(AD405="","",AD405-IF(AE405="",0,AE405)-IF(AF405="",0,AF405))</f>
        <v/>
      </c>
      <c r="AH405" s="26">
        <f>IFERROR(AG405/U405,"")</f>
        <v/>
      </c>
      <c r="AI405" s="23" t="n"/>
      <c r="AJ405" s="23" t="n"/>
      <c r="AK405" s="23" t="n"/>
      <c r="AL405" s="23" t="n"/>
    </row>
    <row r="406">
      <c r="A406" s="20">
        <f>IF(B406="","","TR-"&amp;TEXT(ROW()-2,"0000"))</f>
        <v/>
      </c>
      <c r="B406" s="43" t="n"/>
      <c r="C406" s="44" t="n"/>
      <c r="D406" s="44" t="n"/>
      <c r="E406" s="29" t="n"/>
      <c r="F406" s="29" t="n"/>
      <c r="G406" s="29" t="n"/>
      <c r="H406" s="29" t="n"/>
      <c r="I406" s="29" t="n"/>
      <c r="J406" s="29" t="n"/>
      <c r="K406" s="29" t="n"/>
      <c r="L406" s="45" t="n"/>
      <c r="M406" s="45" t="n"/>
      <c r="N406" s="45" t="n"/>
      <c r="O406" s="45" t="n"/>
      <c r="P406" s="45" t="n"/>
      <c r="Q406" s="45" t="n"/>
      <c r="R406" s="29" t="n"/>
      <c r="S406" s="29" t="n"/>
      <c r="T406" s="42">
        <f>IF(OR(L406="",M406=""),"",IFERROR(Settings!$B$3*Settings!$B$5,0))</f>
        <v/>
      </c>
      <c r="U406" s="42">
        <f>IF(OR(L406="",M406="",R406=""),"",ABS(L406-M406)*R406*IF(S406="",1,S406))</f>
        <v/>
      </c>
      <c r="V406" s="26">
        <f>IFERROR(ABS(N406-L406)/ABS(L406-M406),"")</f>
        <v/>
      </c>
      <c r="W406" s="29" t="n"/>
      <c r="X406" s="29" t="n"/>
      <c r="Y406" s="29" t="n"/>
      <c r="Z406" s="29" t="n"/>
      <c r="AA406" s="29" t="n"/>
      <c r="AB406" s="29" t="n"/>
      <c r="AC406" s="29" t="n"/>
      <c r="AD406" s="42">
        <f>IF(OR(L406="",Q406="",R406=""),"",IF(H406="Long",(Q406-L406)*R406*IF(S406="",1,S406),(L406-Q406)*R406*IF(S406="",1,S406)))</f>
        <v/>
      </c>
      <c r="AE406" s="45" t="n"/>
      <c r="AF406" s="45" t="n"/>
      <c r="AG406" s="42">
        <f>IF(AD406="","",AD406-IF(AE406="",0,AE406)-IF(AF406="",0,AF406))</f>
        <v/>
      </c>
      <c r="AH406" s="26">
        <f>IFERROR(AG406/U406,"")</f>
        <v/>
      </c>
      <c r="AI406" s="29" t="n"/>
      <c r="AJ406" s="29" t="n"/>
      <c r="AK406" s="29" t="n"/>
      <c r="AL406" s="29" t="n"/>
    </row>
    <row r="407">
      <c r="A407" s="20">
        <f>IF(B407="","","TR-"&amp;TEXT(ROW()-2,"0000"))</f>
        <v/>
      </c>
      <c r="B407" s="39" t="n"/>
      <c r="C407" s="40" t="n"/>
      <c r="D407" s="40" t="n"/>
      <c r="E407" s="23" t="n"/>
      <c r="F407" s="23" t="n"/>
      <c r="G407" s="23" t="n"/>
      <c r="H407" s="23" t="n"/>
      <c r="I407" s="23" t="n"/>
      <c r="J407" s="23" t="n"/>
      <c r="K407" s="23" t="n"/>
      <c r="L407" s="41" t="n"/>
      <c r="M407" s="41" t="n"/>
      <c r="N407" s="41" t="n"/>
      <c r="O407" s="41" t="n"/>
      <c r="P407" s="41" t="n"/>
      <c r="Q407" s="41" t="n"/>
      <c r="R407" s="23" t="n"/>
      <c r="S407" s="23" t="n"/>
      <c r="T407" s="42">
        <f>IF(OR(L407="",M407=""),"",IFERROR(Settings!$B$3*Settings!$B$5,0))</f>
        <v/>
      </c>
      <c r="U407" s="42">
        <f>IF(OR(L407="",M407="",R407=""),"",ABS(L407-M407)*R407*IF(S407="",1,S407))</f>
        <v/>
      </c>
      <c r="V407" s="26">
        <f>IFERROR(ABS(N407-L407)/ABS(L407-M407),"")</f>
        <v/>
      </c>
      <c r="W407" s="23" t="n"/>
      <c r="X407" s="23" t="n"/>
      <c r="Y407" s="23" t="n"/>
      <c r="Z407" s="23" t="n"/>
      <c r="AA407" s="23" t="n"/>
      <c r="AB407" s="23" t="n"/>
      <c r="AC407" s="23" t="n"/>
      <c r="AD407" s="42">
        <f>IF(OR(L407="",Q407="",R407=""),"",IF(H407="Long",(Q407-L407)*R407*IF(S407="",1,S407),(L407-Q407)*R407*IF(S407="",1,S407)))</f>
        <v/>
      </c>
      <c r="AE407" s="41" t="n"/>
      <c r="AF407" s="41" t="n"/>
      <c r="AG407" s="42">
        <f>IF(AD407="","",AD407-IF(AE407="",0,AE407)-IF(AF407="",0,AF407))</f>
        <v/>
      </c>
      <c r="AH407" s="26">
        <f>IFERROR(AG407/U407,"")</f>
        <v/>
      </c>
      <c r="AI407" s="23" t="n"/>
      <c r="AJ407" s="23" t="n"/>
      <c r="AK407" s="23" t="n"/>
      <c r="AL407" s="23" t="n"/>
    </row>
    <row r="408">
      <c r="A408" s="20">
        <f>IF(B408="","","TR-"&amp;TEXT(ROW()-2,"0000"))</f>
        <v/>
      </c>
      <c r="B408" s="43" t="n"/>
      <c r="C408" s="44" t="n"/>
      <c r="D408" s="44" t="n"/>
      <c r="E408" s="29" t="n"/>
      <c r="F408" s="29" t="n"/>
      <c r="G408" s="29" t="n"/>
      <c r="H408" s="29" t="n"/>
      <c r="I408" s="29" t="n"/>
      <c r="J408" s="29" t="n"/>
      <c r="K408" s="29" t="n"/>
      <c r="L408" s="45" t="n"/>
      <c r="M408" s="45" t="n"/>
      <c r="N408" s="45" t="n"/>
      <c r="O408" s="45" t="n"/>
      <c r="P408" s="45" t="n"/>
      <c r="Q408" s="45" t="n"/>
      <c r="R408" s="29" t="n"/>
      <c r="S408" s="29" t="n"/>
      <c r="T408" s="42">
        <f>IF(OR(L408="",M408=""),"",IFERROR(Settings!$B$3*Settings!$B$5,0))</f>
        <v/>
      </c>
      <c r="U408" s="42">
        <f>IF(OR(L408="",M408="",R408=""),"",ABS(L408-M408)*R408*IF(S408="",1,S408))</f>
        <v/>
      </c>
      <c r="V408" s="26">
        <f>IFERROR(ABS(N408-L408)/ABS(L408-M408),"")</f>
        <v/>
      </c>
      <c r="W408" s="29" t="n"/>
      <c r="X408" s="29" t="n"/>
      <c r="Y408" s="29" t="n"/>
      <c r="Z408" s="29" t="n"/>
      <c r="AA408" s="29" t="n"/>
      <c r="AB408" s="29" t="n"/>
      <c r="AC408" s="29" t="n"/>
      <c r="AD408" s="42">
        <f>IF(OR(L408="",Q408="",R408=""),"",IF(H408="Long",(Q408-L408)*R408*IF(S408="",1,S408),(L408-Q408)*R408*IF(S408="",1,S408)))</f>
        <v/>
      </c>
      <c r="AE408" s="45" t="n"/>
      <c r="AF408" s="45" t="n"/>
      <c r="AG408" s="42">
        <f>IF(AD408="","",AD408-IF(AE408="",0,AE408)-IF(AF408="",0,AF408))</f>
        <v/>
      </c>
      <c r="AH408" s="26">
        <f>IFERROR(AG408/U408,"")</f>
        <v/>
      </c>
      <c r="AI408" s="29" t="n"/>
      <c r="AJ408" s="29" t="n"/>
      <c r="AK408" s="29" t="n"/>
      <c r="AL408" s="29" t="n"/>
    </row>
    <row r="409">
      <c r="A409" s="20">
        <f>IF(B409="","","TR-"&amp;TEXT(ROW()-2,"0000"))</f>
        <v/>
      </c>
      <c r="B409" s="39" t="n"/>
      <c r="C409" s="40" t="n"/>
      <c r="D409" s="40" t="n"/>
      <c r="E409" s="23" t="n"/>
      <c r="F409" s="23" t="n"/>
      <c r="G409" s="23" t="n"/>
      <c r="H409" s="23" t="n"/>
      <c r="I409" s="23" t="n"/>
      <c r="J409" s="23" t="n"/>
      <c r="K409" s="23" t="n"/>
      <c r="L409" s="41" t="n"/>
      <c r="M409" s="41" t="n"/>
      <c r="N409" s="41" t="n"/>
      <c r="O409" s="41" t="n"/>
      <c r="P409" s="41" t="n"/>
      <c r="Q409" s="41" t="n"/>
      <c r="R409" s="23" t="n"/>
      <c r="S409" s="23" t="n"/>
      <c r="T409" s="42">
        <f>IF(OR(L409="",M409=""),"",IFERROR(Settings!$B$3*Settings!$B$5,0))</f>
        <v/>
      </c>
      <c r="U409" s="42">
        <f>IF(OR(L409="",M409="",R409=""),"",ABS(L409-M409)*R409*IF(S409="",1,S409))</f>
        <v/>
      </c>
      <c r="V409" s="26">
        <f>IFERROR(ABS(N409-L409)/ABS(L409-M409),"")</f>
        <v/>
      </c>
      <c r="W409" s="23" t="n"/>
      <c r="X409" s="23" t="n"/>
      <c r="Y409" s="23" t="n"/>
      <c r="Z409" s="23" t="n"/>
      <c r="AA409" s="23" t="n"/>
      <c r="AB409" s="23" t="n"/>
      <c r="AC409" s="23" t="n"/>
      <c r="AD409" s="42">
        <f>IF(OR(L409="",Q409="",R409=""),"",IF(H409="Long",(Q409-L409)*R409*IF(S409="",1,S409),(L409-Q409)*R409*IF(S409="",1,S409)))</f>
        <v/>
      </c>
      <c r="AE409" s="41" t="n"/>
      <c r="AF409" s="41" t="n"/>
      <c r="AG409" s="42">
        <f>IF(AD409="","",AD409-IF(AE409="",0,AE409)-IF(AF409="",0,AF409))</f>
        <v/>
      </c>
      <c r="AH409" s="26">
        <f>IFERROR(AG409/U409,"")</f>
        <v/>
      </c>
      <c r="AI409" s="23" t="n"/>
      <c r="AJ409" s="23" t="n"/>
      <c r="AK409" s="23" t="n"/>
      <c r="AL409" s="23" t="n"/>
    </row>
    <row r="410">
      <c r="A410" s="20">
        <f>IF(B410="","","TR-"&amp;TEXT(ROW()-2,"0000"))</f>
        <v/>
      </c>
      <c r="B410" s="43" t="n"/>
      <c r="C410" s="44" t="n"/>
      <c r="D410" s="44" t="n"/>
      <c r="E410" s="29" t="n"/>
      <c r="F410" s="29" t="n"/>
      <c r="G410" s="29" t="n"/>
      <c r="H410" s="29" t="n"/>
      <c r="I410" s="29" t="n"/>
      <c r="J410" s="29" t="n"/>
      <c r="K410" s="29" t="n"/>
      <c r="L410" s="45" t="n"/>
      <c r="M410" s="45" t="n"/>
      <c r="N410" s="45" t="n"/>
      <c r="O410" s="45" t="n"/>
      <c r="P410" s="45" t="n"/>
      <c r="Q410" s="45" t="n"/>
      <c r="R410" s="29" t="n"/>
      <c r="S410" s="29" t="n"/>
      <c r="T410" s="42">
        <f>IF(OR(L410="",M410=""),"",IFERROR(Settings!$B$3*Settings!$B$5,0))</f>
        <v/>
      </c>
      <c r="U410" s="42">
        <f>IF(OR(L410="",M410="",R410=""),"",ABS(L410-M410)*R410*IF(S410="",1,S410))</f>
        <v/>
      </c>
      <c r="V410" s="26">
        <f>IFERROR(ABS(N410-L410)/ABS(L410-M410),"")</f>
        <v/>
      </c>
      <c r="W410" s="29" t="n"/>
      <c r="X410" s="29" t="n"/>
      <c r="Y410" s="29" t="n"/>
      <c r="Z410" s="29" t="n"/>
      <c r="AA410" s="29" t="n"/>
      <c r="AB410" s="29" t="n"/>
      <c r="AC410" s="29" t="n"/>
      <c r="AD410" s="42">
        <f>IF(OR(L410="",Q410="",R410=""),"",IF(H410="Long",(Q410-L410)*R410*IF(S410="",1,S410),(L410-Q410)*R410*IF(S410="",1,S410)))</f>
        <v/>
      </c>
      <c r="AE410" s="45" t="n"/>
      <c r="AF410" s="45" t="n"/>
      <c r="AG410" s="42">
        <f>IF(AD410="","",AD410-IF(AE410="",0,AE410)-IF(AF410="",0,AF410))</f>
        <v/>
      </c>
      <c r="AH410" s="26">
        <f>IFERROR(AG410/U410,"")</f>
        <v/>
      </c>
      <c r="AI410" s="29" t="n"/>
      <c r="AJ410" s="29" t="n"/>
      <c r="AK410" s="29" t="n"/>
      <c r="AL410" s="29" t="n"/>
    </row>
    <row r="411">
      <c r="A411" s="20">
        <f>IF(B411="","","TR-"&amp;TEXT(ROW()-2,"0000"))</f>
        <v/>
      </c>
      <c r="B411" s="39" t="n"/>
      <c r="C411" s="40" t="n"/>
      <c r="D411" s="40" t="n"/>
      <c r="E411" s="23" t="n"/>
      <c r="F411" s="23" t="n"/>
      <c r="G411" s="23" t="n"/>
      <c r="H411" s="23" t="n"/>
      <c r="I411" s="23" t="n"/>
      <c r="J411" s="23" t="n"/>
      <c r="K411" s="23" t="n"/>
      <c r="L411" s="41" t="n"/>
      <c r="M411" s="41" t="n"/>
      <c r="N411" s="41" t="n"/>
      <c r="O411" s="41" t="n"/>
      <c r="P411" s="41" t="n"/>
      <c r="Q411" s="41" t="n"/>
      <c r="R411" s="23" t="n"/>
      <c r="S411" s="23" t="n"/>
      <c r="T411" s="42">
        <f>IF(OR(L411="",M411=""),"",IFERROR(Settings!$B$3*Settings!$B$5,0))</f>
        <v/>
      </c>
      <c r="U411" s="42">
        <f>IF(OR(L411="",M411="",R411=""),"",ABS(L411-M411)*R411*IF(S411="",1,S411))</f>
        <v/>
      </c>
      <c r="V411" s="26">
        <f>IFERROR(ABS(N411-L411)/ABS(L411-M411),"")</f>
        <v/>
      </c>
      <c r="W411" s="23" t="n"/>
      <c r="X411" s="23" t="n"/>
      <c r="Y411" s="23" t="n"/>
      <c r="Z411" s="23" t="n"/>
      <c r="AA411" s="23" t="n"/>
      <c r="AB411" s="23" t="n"/>
      <c r="AC411" s="23" t="n"/>
      <c r="AD411" s="42">
        <f>IF(OR(L411="",Q411="",R411=""),"",IF(H411="Long",(Q411-L411)*R411*IF(S411="",1,S411),(L411-Q411)*R411*IF(S411="",1,S411)))</f>
        <v/>
      </c>
      <c r="AE411" s="41" t="n"/>
      <c r="AF411" s="41" t="n"/>
      <c r="AG411" s="42">
        <f>IF(AD411="","",AD411-IF(AE411="",0,AE411)-IF(AF411="",0,AF411))</f>
        <v/>
      </c>
      <c r="AH411" s="26">
        <f>IFERROR(AG411/U411,"")</f>
        <v/>
      </c>
      <c r="AI411" s="23" t="n"/>
      <c r="AJ411" s="23" t="n"/>
      <c r="AK411" s="23" t="n"/>
      <c r="AL411" s="23" t="n"/>
    </row>
    <row r="412">
      <c r="A412" s="20">
        <f>IF(B412="","","TR-"&amp;TEXT(ROW()-2,"0000"))</f>
        <v/>
      </c>
      <c r="B412" s="43" t="n"/>
      <c r="C412" s="44" t="n"/>
      <c r="D412" s="44" t="n"/>
      <c r="E412" s="29" t="n"/>
      <c r="F412" s="29" t="n"/>
      <c r="G412" s="29" t="n"/>
      <c r="H412" s="29" t="n"/>
      <c r="I412" s="29" t="n"/>
      <c r="J412" s="29" t="n"/>
      <c r="K412" s="29" t="n"/>
      <c r="L412" s="45" t="n"/>
      <c r="M412" s="45" t="n"/>
      <c r="N412" s="45" t="n"/>
      <c r="O412" s="45" t="n"/>
      <c r="P412" s="45" t="n"/>
      <c r="Q412" s="45" t="n"/>
      <c r="R412" s="29" t="n"/>
      <c r="S412" s="29" t="n"/>
      <c r="T412" s="42">
        <f>IF(OR(L412="",M412=""),"",IFERROR(Settings!$B$3*Settings!$B$5,0))</f>
        <v/>
      </c>
      <c r="U412" s="42">
        <f>IF(OR(L412="",M412="",R412=""),"",ABS(L412-M412)*R412*IF(S412="",1,S412))</f>
        <v/>
      </c>
      <c r="V412" s="26">
        <f>IFERROR(ABS(N412-L412)/ABS(L412-M412),"")</f>
        <v/>
      </c>
      <c r="W412" s="29" t="n"/>
      <c r="X412" s="29" t="n"/>
      <c r="Y412" s="29" t="n"/>
      <c r="Z412" s="29" t="n"/>
      <c r="AA412" s="29" t="n"/>
      <c r="AB412" s="29" t="n"/>
      <c r="AC412" s="29" t="n"/>
      <c r="AD412" s="42">
        <f>IF(OR(L412="",Q412="",R412=""),"",IF(H412="Long",(Q412-L412)*R412*IF(S412="",1,S412),(L412-Q412)*R412*IF(S412="",1,S412)))</f>
        <v/>
      </c>
      <c r="AE412" s="45" t="n"/>
      <c r="AF412" s="45" t="n"/>
      <c r="AG412" s="42">
        <f>IF(AD412="","",AD412-IF(AE412="",0,AE412)-IF(AF412="",0,AF412))</f>
        <v/>
      </c>
      <c r="AH412" s="26">
        <f>IFERROR(AG412/U412,"")</f>
        <v/>
      </c>
      <c r="AI412" s="29" t="n"/>
      <c r="AJ412" s="29" t="n"/>
      <c r="AK412" s="29" t="n"/>
      <c r="AL412" s="29" t="n"/>
    </row>
    <row r="413">
      <c r="A413" s="20">
        <f>IF(B413="","","TR-"&amp;TEXT(ROW()-2,"0000"))</f>
        <v/>
      </c>
      <c r="B413" s="39" t="n"/>
      <c r="C413" s="40" t="n"/>
      <c r="D413" s="40" t="n"/>
      <c r="E413" s="23" t="n"/>
      <c r="F413" s="23" t="n"/>
      <c r="G413" s="23" t="n"/>
      <c r="H413" s="23" t="n"/>
      <c r="I413" s="23" t="n"/>
      <c r="J413" s="23" t="n"/>
      <c r="K413" s="23" t="n"/>
      <c r="L413" s="41" t="n"/>
      <c r="M413" s="41" t="n"/>
      <c r="N413" s="41" t="n"/>
      <c r="O413" s="41" t="n"/>
      <c r="P413" s="41" t="n"/>
      <c r="Q413" s="41" t="n"/>
      <c r="R413" s="23" t="n"/>
      <c r="S413" s="23" t="n"/>
      <c r="T413" s="42">
        <f>IF(OR(L413="",M413=""),"",IFERROR(Settings!$B$3*Settings!$B$5,0))</f>
        <v/>
      </c>
      <c r="U413" s="42">
        <f>IF(OR(L413="",M413="",R413=""),"",ABS(L413-M413)*R413*IF(S413="",1,S413))</f>
        <v/>
      </c>
      <c r="V413" s="26">
        <f>IFERROR(ABS(N413-L413)/ABS(L413-M413),"")</f>
        <v/>
      </c>
      <c r="W413" s="23" t="n"/>
      <c r="X413" s="23" t="n"/>
      <c r="Y413" s="23" t="n"/>
      <c r="Z413" s="23" t="n"/>
      <c r="AA413" s="23" t="n"/>
      <c r="AB413" s="23" t="n"/>
      <c r="AC413" s="23" t="n"/>
      <c r="AD413" s="42">
        <f>IF(OR(L413="",Q413="",R413=""),"",IF(H413="Long",(Q413-L413)*R413*IF(S413="",1,S413),(L413-Q413)*R413*IF(S413="",1,S413)))</f>
        <v/>
      </c>
      <c r="AE413" s="41" t="n"/>
      <c r="AF413" s="41" t="n"/>
      <c r="AG413" s="42">
        <f>IF(AD413="","",AD413-IF(AE413="",0,AE413)-IF(AF413="",0,AF413))</f>
        <v/>
      </c>
      <c r="AH413" s="26">
        <f>IFERROR(AG413/U413,"")</f>
        <v/>
      </c>
      <c r="AI413" s="23" t="n"/>
      <c r="AJ413" s="23" t="n"/>
      <c r="AK413" s="23" t="n"/>
      <c r="AL413" s="23" t="n"/>
    </row>
    <row r="414">
      <c r="A414" s="20">
        <f>IF(B414="","","TR-"&amp;TEXT(ROW()-2,"0000"))</f>
        <v/>
      </c>
      <c r="B414" s="43" t="n"/>
      <c r="C414" s="44" t="n"/>
      <c r="D414" s="44" t="n"/>
      <c r="E414" s="29" t="n"/>
      <c r="F414" s="29" t="n"/>
      <c r="G414" s="29" t="n"/>
      <c r="H414" s="29" t="n"/>
      <c r="I414" s="29" t="n"/>
      <c r="J414" s="29" t="n"/>
      <c r="K414" s="29" t="n"/>
      <c r="L414" s="45" t="n"/>
      <c r="M414" s="45" t="n"/>
      <c r="N414" s="45" t="n"/>
      <c r="O414" s="45" t="n"/>
      <c r="P414" s="45" t="n"/>
      <c r="Q414" s="45" t="n"/>
      <c r="R414" s="29" t="n"/>
      <c r="S414" s="29" t="n"/>
      <c r="T414" s="42">
        <f>IF(OR(L414="",M414=""),"",IFERROR(Settings!$B$3*Settings!$B$5,0))</f>
        <v/>
      </c>
      <c r="U414" s="42">
        <f>IF(OR(L414="",M414="",R414=""),"",ABS(L414-M414)*R414*IF(S414="",1,S414))</f>
        <v/>
      </c>
      <c r="V414" s="26">
        <f>IFERROR(ABS(N414-L414)/ABS(L414-M414),"")</f>
        <v/>
      </c>
      <c r="W414" s="29" t="n"/>
      <c r="X414" s="29" t="n"/>
      <c r="Y414" s="29" t="n"/>
      <c r="Z414" s="29" t="n"/>
      <c r="AA414" s="29" t="n"/>
      <c r="AB414" s="29" t="n"/>
      <c r="AC414" s="29" t="n"/>
      <c r="AD414" s="42">
        <f>IF(OR(L414="",Q414="",R414=""),"",IF(H414="Long",(Q414-L414)*R414*IF(S414="",1,S414),(L414-Q414)*R414*IF(S414="",1,S414)))</f>
        <v/>
      </c>
      <c r="AE414" s="45" t="n"/>
      <c r="AF414" s="45" t="n"/>
      <c r="AG414" s="42">
        <f>IF(AD414="","",AD414-IF(AE414="",0,AE414)-IF(AF414="",0,AF414))</f>
        <v/>
      </c>
      <c r="AH414" s="26">
        <f>IFERROR(AG414/U414,"")</f>
        <v/>
      </c>
      <c r="AI414" s="29" t="n"/>
      <c r="AJ414" s="29" t="n"/>
      <c r="AK414" s="29" t="n"/>
      <c r="AL414" s="29" t="n"/>
    </row>
    <row r="415">
      <c r="A415" s="20">
        <f>IF(B415="","","TR-"&amp;TEXT(ROW()-2,"0000"))</f>
        <v/>
      </c>
      <c r="B415" s="39" t="n"/>
      <c r="C415" s="40" t="n"/>
      <c r="D415" s="40" t="n"/>
      <c r="E415" s="23" t="n"/>
      <c r="F415" s="23" t="n"/>
      <c r="G415" s="23" t="n"/>
      <c r="H415" s="23" t="n"/>
      <c r="I415" s="23" t="n"/>
      <c r="J415" s="23" t="n"/>
      <c r="K415" s="23" t="n"/>
      <c r="L415" s="41" t="n"/>
      <c r="M415" s="41" t="n"/>
      <c r="N415" s="41" t="n"/>
      <c r="O415" s="41" t="n"/>
      <c r="P415" s="41" t="n"/>
      <c r="Q415" s="41" t="n"/>
      <c r="R415" s="23" t="n"/>
      <c r="S415" s="23" t="n"/>
      <c r="T415" s="42">
        <f>IF(OR(L415="",M415=""),"",IFERROR(Settings!$B$3*Settings!$B$5,0))</f>
        <v/>
      </c>
      <c r="U415" s="42">
        <f>IF(OR(L415="",M415="",R415=""),"",ABS(L415-M415)*R415*IF(S415="",1,S415))</f>
        <v/>
      </c>
      <c r="V415" s="26">
        <f>IFERROR(ABS(N415-L415)/ABS(L415-M415),"")</f>
        <v/>
      </c>
      <c r="W415" s="23" t="n"/>
      <c r="X415" s="23" t="n"/>
      <c r="Y415" s="23" t="n"/>
      <c r="Z415" s="23" t="n"/>
      <c r="AA415" s="23" t="n"/>
      <c r="AB415" s="23" t="n"/>
      <c r="AC415" s="23" t="n"/>
      <c r="AD415" s="42">
        <f>IF(OR(L415="",Q415="",R415=""),"",IF(H415="Long",(Q415-L415)*R415*IF(S415="",1,S415),(L415-Q415)*R415*IF(S415="",1,S415)))</f>
        <v/>
      </c>
      <c r="AE415" s="41" t="n"/>
      <c r="AF415" s="41" t="n"/>
      <c r="AG415" s="42">
        <f>IF(AD415="","",AD415-IF(AE415="",0,AE415)-IF(AF415="",0,AF415))</f>
        <v/>
      </c>
      <c r="AH415" s="26">
        <f>IFERROR(AG415/U415,"")</f>
        <v/>
      </c>
      <c r="AI415" s="23" t="n"/>
      <c r="AJ415" s="23" t="n"/>
      <c r="AK415" s="23" t="n"/>
      <c r="AL415" s="23" t="n"/>
    </row>
    <row r="416">
      <c r="A416" s="20">
        <f>IF(B416="","","TR-"&amp;TEXT(ROW()-2,"0000"))</f>
        <v/>
      </c>
      <c r="B416" s="43" t="n"/>
      <c r="C416" s="44" t="n"/>
      <c r="D416" s="44" t="n"/>
      <c r="E416" s="29" t="n"/>
      <c r="F416" s="29" t="n"/>
      <c r="G416" s="29" t="n"/>
      <c r="H416" s="29" t="n"/>
      <c r="I416" s="29" t="n"/>
      <c r="J416" s="29" t="n"/>
      <c r="K416" s="29" t="n"/>
      <c r="L416" s="45" t="n"/>
      <c r="M416" s="45" t="n"/>
      <c r="N416" s="45" t="n"/>
      <c r="O416" s="45" t="n"/>
      <c r="P416" s="45" t="n"/>
      <c r="Q416" s="45" t="n"/>
      <c r="R416" s="29" t="n"/>
      <c r="S416" s="29" t="n"/>
      <c r="T416" s="42">
        <f>IF(OR(L416="",M416=""),"",IFERROR(Settings!$B$3*Settings!$B$5,0))</f>
        <v/>
      </c>
      <c r="U416" s="42">
        <f>IF(OR(L416="",M416="",R416=""),"",ABS(L416-M416)*R416*IF(S416="",1,S416))</f>
        <v/>
      </c>
      <c r="V416" s="26">
        <f>IFERROR(ABS(N416-L416)/ABS(L416-M416),"")</f>
        <v/>
      </c>
      <c r="W416" s="29" t="n"/>
      <c r="X416" s="29" t="n"/>
      <c r="Y416" s="29" t="n"/>
      <c r="Z416" s="29" t="n"/>
      <c r="AA416" s="29" t="n"/>
      <c r="AB416" s="29" t="n"/>
      <c r="AC416" s="29" t="n"/>
      <c r="AD416" s="42">
        <f>IF(OR(L416="",Q416="",R416=""),"",IF(H416="Long",(Q416-L416)*R416*IF(S416="",1,S416),(L416-Q416)*R416*IF(S416="",1,S416)))</f>
        <v/>
      </c>
      <c r="AE416" s="45" t="n"/>
      <c r="AF416" s="45" t="n"/>
      <c r="AG416" s="42">
        <f>IF(AD416="","",AD416-IF(AE416="",0,AE416)-IF(AF416="",0,AF416))</f>
        <v/>
      </c>
      <c r="AH416" s="26">
        <f>IFERROR(AG416/U416,"")</f>
        <v/>
      </c>
      <c r="AI416" s="29" t="n"/>
      <c r="AJ416" s="29" t="n"/>
      <c r="AK416" s="29" t="n"/>
      <c r="AL416" s="29" t="n"/>
    </row>
    <row r="417">
      <c r="A417" s="20">
        <f>IF(B417="","","TR-"&amp;TEXT(ROW()-2,"0000"))</f>
        <v/>
      </c>
      <c r="B417" s="39" t="n"/>
      <c r="C417" s="40" t="n"/>
      <c r="D417" s="40" t="n"/>
      <c r="E417" s="23" t="n"/>
      <c r="F417" s="23" t="n"/>
      <c r="G417" s="23" t="n"/>
      <c r="H417" s="23" t="n"/>
      <c r="I417" s="23" t="n"/>
      <c r="J417" s="23" t="n"/>
      <c r="K417" s="23" t="n"/>
      <c r="L417" s="41" t="n"/>
      <c r="M417" s="41" t="n"/>
      <c r="N417" s="41" t="n"/>
      <c r="O417" s="41" t="n"/>
      <c r="P417" s="41" t="n"/>
      <c r="Q417" s="41" t="n"/>
      <c r="R417" s="23" t="n"/>
      <c r="S417" s="23" t="n"/>
      <c r="T417" s="42">
        <f>IF(OR(L417="",M417=""),"",IFERROR(Settings!$B$3*Settings!$B$5,0))</f>
        <v/>
      </c>
      <c r="U417" s="42">
        <f>IF(OR(L417="",M417="",R417=""),"",ABS(L417-M417)*R417*IF(S417="",1,S417))</f>
        <v/>
      </c>
      <c r="V417" s="26">
        <f>IFERROR(ABS(N417-L417)/ABS(L417-M417),"")</f>
        <v/>
      </c>
      <c r="W417" s="23" t="n"/>
      <c r="X417" s="23" t="n"/>
      <c r="Y417" s="23" t="n"/>
      <c r="Z417" s="23" t="n"/>
      <c r="AA417" s="23" t="n"/>
      <c r="AB417" s="23" t="n"/>
      <c r="AC417" s="23" t="n"/>
      <c r="AD417" s="42">
        <f>IF(OR(L417="",Q417="",R417=""),"",IF(H417="Long",(Q417-L417)*R417*IF(S417="",1,S417),(L417-Q417)*R417*IF(S417="",1,S417)))</f>
        <v/>
      </c>
      <c r="AE417" s="41" t="n"/>
      <c r="AF417" s="41" t="n"/>
      <c r="AG417" s="42">
        <f>IF(AD417="","",AD417-IF(AE417="",0,AE417)-IF(AF417="",0,AF417))</f>
        <v/>
      </c>
      <c r="AH417" s="26">
        <f>IFERROR(AG417/U417,"")</f>
        <v/>
      </c>
      <c r="AI417" s="23" t="n"/>
      <c r="AJ417" s="23" t="n"/>
      <c r="AK417" s="23" t="n"/>
      <c r="AL417" s="23" t="n"/>
    </row>
    <row r="418">
      <c r="A418" s="20">
        <f>IF(B418="","","TR-"&amp;TEXT(ROW()-2,"0000"))</f>
        <v/>
      </c>
      <c r="B418" s="43" t="n"/>
      <c r="C418" s="44" t="n"/>
      <c r="D418" s="44" t="n"/>
      <c r="E418" s="29" t="n"/>
      <c r="F418" s="29" t="n"/>
      <c r="G418" s="29" t="n"/>
      <c r="H418" s="29" t="n"/>
      <c r="I418" s="29" t="n"/>
      <c r="J418" s="29" t="n"/>
      <c r="K418" s="29" t="n"/>
      <c r="L418" s="45" t="n"/>
      <c r="M418" s="45" t="n"/>
      <c r="N418" s="45" t="n"/>
      <c r="O418" s="45" t="n"/>
      <c r="P418" s="45" t="n"/>
      <c r="Q418" s="45" t="n"/>
      <c r="R418" s="29" t="n"/>
      <c r="S418" s="29" t="n"/>
      <c r="T418" s="42">
        <f>IF(OR(L418="",M418=""),"",IFERROR(Settings!$B$3*Settings!$B$5,0))</f>
        <v/>
      </c>
      <c r="U418" s="42">
        <f>IF(OR(L418="",M418="",R418=""),"",ABS(L418-M418)*R418*IF(S418="",1,S418))</f>
        <v/>
      </c>
      <c r="V418" s="26">
        <f>IFERROR(ABS(N418-L418)/ABS(L418-M418),"")</f>
        <v/>
      </c>
      <c r="W418" s="29" t="n"/>
      <c r="X418" s="29" t="n"/>
      <c r="Y418" s="29" t="n"/>
      <c r="Z418" s="29" t="n"/>
      <c r="AA418" s="29" t="n"/>
      <c r="AB418" s="29" t="n"/>
      <c r="AC418" s="29" t="n"/>
      <c r="AD418" s="42">
        <f>IF(OR(L418="",Q418="",R418=""),"",IF(H418="Long",(Q418-L418)*R418*IF(S418="",1,S418),(L418-Q418)*R418*IF(S418="",1,S418)))</f>
        <v/>
      </c>
      <c r="AE418" s="45" t="n"/>
      <c r="AF418" s="45" t="n"/>
      <c r="AG418" s="42">
        <f>IF(AD418="","",AD418-IF(AE418="",0,AE418)-IF(AF418="",0,AF418))</f>
        <v/>
      </c>
      <c r="AH418" s="26">
        <f>IFERROR(AG418/U418,"")</f>
        <v/>
      </c>
      <c r="AI418" s="29" t="n"/>
      <c r="AJ418" s="29" t="n"/>
      <c r="AK418" s="29" t="n"/>
      <c r="AL418" s="29" t="n"/>
    </row>
    <row r="419">
      <c r="A419" s="20">
        <f>IF(B419="","","TR-"&amp;TEXT(ROW()-2,"0000"))</f>
        <v/>
      </c>
      <c r="B419" s="39" t="n"/>
      <c r="C419" s="40" t="n"/>
      <c r="D419" s="40" t="n"/>
      <c r="E419" s="23" t="n"/>
      <c r="F419" s="23" t="n"/>
      <c r="G419" s="23" t="n"/>
      <c r="H419" s="23" t="n"/>
      <c r="I419" s="23" t="n"/>
      <c r="J419" s="23" t="n"/>
      <c r="K419" s="23" t="n"/>
      <c r="L419" s="41" t="n"/>
      <c r="M419" s="41" t="n"/>
      <c r="N419" s="41" t="n"/>
      <c r="O419" s="41" t="n"/>
      <c r="P419" s="41" t="n"/>
      <c r="Q419" s="41" t="n"/>
      <c r="R419" s="23" t="n"/>
      <c r="S419" s="23" t="n"/>
      <c r="T419" s="42">
        <f>IF(OR(L419="",M419=""),"",IFERROR(Settings!$B$3*Settings!$B$5,0))</f>
        <v/>
      </c>
      <c r="U419" s="42">
        <f>IF(OR(L419="",M419="",R419=""),"",ABS(L419-M419)*R419*IF(S419="",1,S419))</f>
        <v/>
      </c>
      <c r="V419" s="26">
        <f>IFERROR(ABS(N419-L419)/ABS(L419-M419),"")</f>
        <v/>
      </c>
      <c r="W419" s="23" t="n"/>
      <c r="X419" s="23" t="n"/>
      <c r="Y419" s="23" t="n"/>
      <c r="Z419" s="23" t="n"/>
      <c r="AA419" s="23" t="n"/>
      <c r="AB419" s="23" t="n"/>
      <c r="AC419" s="23" t="n"/>
      <c r="AD419" s="42">
        <f>IF(OR(L419="",Q419="",R419=""),"",IF(H419="Long",(Q419-L419)*R419*IF(S419="",1,S419),(L419-Q419)*R419*IF(S419="",1,S419)))</f>
        <v/>
      </c>
      <c r="AE419" s="41" t="n"/>
      <c r="AF419" s="41" t="n"/>
      <c r="AG419" s="42">
        <f>IF(AD419="","",AD419-IF(AE419="",0,AE419)-IF(AF419="",0,AF419))</f>
        <v/>
      </c>
      <c r="AH419" s="26">
        <f>IFERROR(AG419/U419,"")</f>
        <v/>
      </c>
      <c r="AI419" s="23" t="n"/>
      <c r="AJ419" s="23" t="n"/>
      <c r="AK419" s="23" t="n"/>
      <c r="AL419" s="23" t="n"/>
    </row>
    <row r="420">
      <c r="A420" s="20">
        <f>IF(B420="","","TR-"&amp;TEXT(ROW()-2,"0000"))</f>
        <v/>
      </c>
      <c r="B420" s="43" t="n"/>
      <c r="C420" s="44" t="n"/>
      <c r="D420" s="44" t="n"/>
      <c r="E420" s="29" t="n"/>
      <c r="F420" s="29" t="n"/>
      <c r="G420" s="29" t="n"/>
      <c r="H420" s="29" t="n"/>
      <c r="I420" s="29" t="n"/>
      <c r="J420" s="29" t="n"/>
      <c r="K420" s="29" t="n"/>
      <c r="L420" s="45" t="n"/>
      <c r="M420" s="45" t="n"/>
      <c r="N420" s="45" t="n"/>
      <c r="O420" s="45" t="n"/>
      <c r="P420" s="45" t="n"/>
      <c r="Q420" s="45" t="n"/>
      <c r="R420" s="29" t="n"/>
      <c r="S420" s="29" t="n"/>
      <c r="T420" s="42">
        <f>IF(OR(L420="",M420=""),"",IFERROR(Settings!$B$3*Settings!$B$5,0))</f>
        <v/>
      </c>
      <c r="U420" s="42">
        <f>IF(OR(L420="",M420="",R420=""),"",ABS(L420-M420)*R420*IF(S420="",1,S420))</f>
        <v/>
      </c>
      <c r="V420" s="26">
        <f>IFERROR(ABS(N420-L420)/ABS(L420-M420),"")</f>
        <v/>
      </c>
      <c r="W420" s="29" t="n"/>
      <c r="X420" s="29" t="n"/>
      <c r="Y420" s="29" t="n"/>
      <c r="Z420" s="29" t="n"/>
      <c r="AA420" s="29" t="n"/>
      <c r="AB420" s="29" t="n"/>
      <c r="AC420" s="29" t="n"/>
      <c r="AD420" s="42">
        <f>IF(OR(L420="",Q420="",R420=""),"",IF(H420="Long",(Q420-L420)*R420*IF(S420="",1,S420),(L420-Q420)*R420*IF(S420="",1,S420)))</f>
        <v/>
      </c>
      <c r="AE420" s="45" t="n"/>
      <c r="AF420" s="45" t="n"/>
      <c r="AG420" s="42">
        <f>IF(AD420="","",AD420-IF(AE420="",0,AE420)-IF(AF420="",0,AF420))</f>
        <v/>
      </c>
      <c r="AH420" s="26">
        <f>IFERROR(AG420/U420,"")</f>
        <v/>
      </c>
      <c r="AI420" s="29" t="n"/>
      <c r="AJ420" s="29" t="n"/>
      <c r="AK420" s="29" t="n"/>
      <c r="AL420" s="29" t="n"/>
    </row>
    <row r="421">
      <c r="A421" s="20">
        <f>IF(B421="","","TR-"&amp;TEXT(ROW()-2,"0000"))</f>
        <v/>
      </c>
      <c r="B421" s="39" t="n"/>
      <c r="C421" s="40" t="n"/>
      <c r="D421" s="40" t="n"/>
      <c r="E421" s="23" t="n"/>
      <c r="F421" s="23" t="n"/>
      <c r="G421" s="23" t="n"/>
      <c r="H421" s="23" t="n"/>
      <c r="I421" s="23" t="n"/>
      <c r="J421" s="23" t="n"/>
      <c r="K421" s="23" t="n"/>
      <c r="L421" s="41" t="n"/>
      <c r="M421" s="41" t="n"/>
      <c r="N421" s="41" t="n"/>
      <c r="O421" s="41" t="n"/>
      <c r="P421" s="41" t="n"/>
      <c r="Q421" s="41" t="n"/>
      <c r="R421" s="23" t="n"/>
      <c r="S421" s="23" t="n"/>
      <c r="T421" s="42">
        <f>IF(OR(L421="",M421=""),"",IFERROR(Settings!$B$3*Settings!$B$5,0))</f>
        <v/>
      </c>
      <c r="U421" s="42">
        <f>IF(OR(L421="",M421="",R421=""),"",ABS(L421-M421)*R421*IF(S421="",1,S421))</f>
        <v/>
      </c>
      <c r="V421" s="26">
        <f>IFERROR(ABS(N421-L421)/ABS(L421-M421),"")</f>
        <v/>
      </c>
      <c r="W421" s="23" t="n"/>
      <c r="X421" s="23" t="n"/>
      <c r="Y421" s="23" t="n"/>
      <c r="Z421" s="23" t="n"/>
      <c r="AA421" s="23" t="n"/>
      <c r="AB421" s="23" t="n"/>
      <c r="AC421" s="23" t="n"/>
      <c r="AD421" s="42">
        <f>IF(OR(L421="",Q421="",R421=""),"",IF(H421="Long",(Q421-L421)*R421*IF(S421="",1,S421),(L421-Q421)*R421*IF(S421="",1,S421)))</f>
        <v/>
      </c>
      <c r="AE421" s="41" t="n"/>
      <c r="AF421" s="41" t="n"/>
      <c r="AG421" s="42">
        <f>IF(AD421="","",AD421-IF(AE421="",0,AE421)-IF(AF421="",0,AF421))</f>
        <v/>
      </c>
      <c r="AH421" s="26">
        <f>IFERROR(AG421/U421,"")</f>
        <v/>
      </c>
      <c r="AI421" s="23" t="n"/>
      <c r="AJ421" s="23" t="n"/>
      <c r="AK421" s="23" t="n"/>
      <c r="AL421" s="23" t="n"/>
    </row>
    <row r="422">
      <c r="A422" s="20">
        <f>IF(B422="","","TR-"&amp;TEXT(ROW()-2,"0000"))</f>
        <v/>
      </c>
      <c r="B422" s="43" t="n"/>
      <c r="C422" s="44" t="n"/>
      <c r="D422" s="44" t="n"/>
      <c r="E422" s="29" t="n"/>
      <c r="F422" s="29" t="n"/>
      <c r="G422" s="29" t="n"/>
      <c r="H422" s="29" t="n"/>
      <c r="I422" s="29" t="n"/>
      <c r="J422" s="29" t="n"/>
      <c r="K422" s="29" t="n"/>
      <c r="L422" s="45" t="n"/>
      <c r="M422" s="45" t="n"/>
      <c r="N422" s="45" t="n"/>
      <c r="O422" s="45" t="n"/>
      <c r="P422" s="45" t="n"/>
      <c r="Q422" s="45" t="n"/>
      <c r="R422" s="29" t="n"/>
      <c r="S422" s="29" t="n"/>
      <c r="T422" s="42">
        <f>IF(OR(L422="",M422=""),"",IFERROR(Settings!$B$3*Settings!$B$5,0))</f>
        <v/>
      </c>
      <c r="U422" s="42">
        <f>IF(OR(L422="",M422="",R422=""),"",ABS(L422-M422)*R422*IF(S422="",1,S422))</f>
        <v/>
      </c>
      <c r="V422" s="26">
        <f>IFERROR(ABS(N422-L422)/ABS(L422-M422),"")</f>
        <v/>
      </c>
      <c r="W422" s="29" t="n"/>
      <c r="X422" s="29" t="n"/>
      <c r="Y422" s="29" t="n"/>
      <c r="Z422" s="29" t="n"/>
      <c r="AA422" s="29" t="n"/>
      <c r="AB422" s="29" t="n"/>
      <c r="AC422" s="29" t="n"/>
      <c r="AD422" s="42">
        <f>IF(OR(L422="",Q422="",R422=""),"",IF(H422="Long",(Q422-L422)*R422*IF(S422="",1,S422),(L422-Q422)*R422*IF(S422="",1,S422)))</f>
        <v/>
      </c>
      <c r="AE422" s="45" t="n"/>
      <c r="AF422" s="45" t="n"/>
      <c r="AG422" s="42">
        <f>IF(AD422="","",AD422-IF(AE422="",0,AE422)-IF(AF422="",0,AF422))</f>
        <v/>
      </c>
      <c r="AH422" s="26">
        <f>IFERROR(AG422/U422,"")</f>
        <v/>
      </c>
      <c r="AI422" s="29" t="n"/>
      <c r="AJ422" s="29" t="n"/>
      <c r="AK422" s="29" t="n"/>
      <c r="AL422" s="29" t="n"/>
    </row>
    <row r="423">
      <c r="A423" s="20">
        <f>IF(B423="","","TR-"&amp;TEXT(ROW()-2,"0000"))</f>
        <v/>
      </c>
      <c r="B423" s="39" t="n"/>
      <c r="C423" s="40" t="n"/>
      <c r="D423" s="40" t="n"/>
      <c r="E423" s="23" t="n"/>
      <c r="F423" s="23" t="n"/>
      <c r="G423" s="23" t="n"/>
      <c r="H423" s="23" t="n"/>
      <c r="I423" s="23" t="n"/>
      <c r="J423" s="23" t="n"/>
      <c r="K423" s="23" t="n"/>
      <c r="L423" s="41" t="n"/>
      <c r="M423" s="41" t="n"/>
      <c r="N423" s="41" t="n"/>
      <c r="O423" s="41" t="n"/>
      <c r="P423" s="41" t="n"/>
      <c r="Q423" s="41" t="n"/>
      <c r="R423" s="23" t="n"/>
      <c r="S423" s="23" t="n"/>
      <c r="T423" s="42">
        <f>IF(OR(L423="",M423=""),"",IFERROR(Settings!$B$3*Settings!$B$5,0))</f>
        <v/>
      </c>
      <c r="U423" s="42">
        <f>IF(OR(L423="",M423="",R423=""),"",ABS(L423-M423)*R423*IF(S423="",1,S423))</f>
        <v/>
      </c>
      <c r="V423" s="26">
        <f>IFERROR(ABS(N423-L423)/ABS(L423-M423),"")</f>
        <v/>
      </c>
      <c r="W423" s="23" t="n"/>
      <c r="X423" s="23" t="n"/>
      <c r="Y423" s="23" t="n"/>
      <c r="Z423" s="23" t="n"/>
      <c r="AA423" s="23" t="n"/>
      <c r="AB423" s="23" t="n"/>
      <c r="AC423" s="23" t="n"/>
      <c r="AD423" s="42">
        <f>IF(OR(L423="",Q423="",R423=""),"",IF(H423="Long",(Q423-L423)*R423*IF(S423="",1,S423),(L423-Q423)*R423*IF(S423="",1,S423)))</f>
        <v/>
      </c>
      <c r="AE423" s="41" t="n"/>
      <c r="AF423" s="41" t="n"/>
      <c r="AG423" s="42">
        <f>IF(AD423="","",AD423-IF(AE423="",0,AE423)-IF(AF423="",0,AF423))</f>
        <v/>
      </c>
      <c r="AH423" s="26">
        <f>IFERROR(AG423/U423,"")</f>
        <v/>
      </c>
      <c r="AI423" s="23" t="n"/>
      <c r="AJ423" s="23" t="n"/>
      <c r="AK423" s="23" t="n"/>
      <c r="AL423" s="23" t="n"/>
    </row>
    <row r="424">
      <c r="A424" s="20">
        <f>IF(B424="","","TR-"&amp;TEXT(ROW()-2,"0000"))</f>
        <v/>
      </c>
      <c r="B424" s="43" t="n"/>
      <c r="C424" s="44" t="n"/>
      <c r="D424" s="44" t="n"/>
      <c r="E424" s="29" t="n"/>
      <c r="F424" s="29" t="n"/>
      <c r="G424" s="29" t="n"/>
      <c r="H424" s="29" t="n"/>
      <c r="I424" s="29" t="n"/>
      <c r="J424" s="29" t="n"/>
      <c r="K424" s="29" t="n"/>
      <c r="L424" s="45" t="n"/>
      <c r="M424" s="45" t="n"/>
      <c r="N424" s="45" t="n"/>
      <c r="O424" s="45" t="n"/>
      <c r="P424" s="45" t="n"/>
      <c r="Q424" s="45" t="n"/>
      <c r="R424" s="29" t="n"/>
      <c r="S424" s="29" t="n"/>
      <c r="T424" s="42">
        <f>IF(OR(L424="",M424=""),"",IFERROR(Settings!$B$3*Settings!$B$5,0))</f>
        <v/>
      </c>
      <c r="U424" s="42">
        <f>IF(OR(L424="",M424="",R424=""),"",ABS(L424-M424)*R424*IF(S424="",1,S424))</f>
        <v/>
      </c>
      <c r="V424" s="26">
        <f>IFERROR(ABS(N424-L424)/ABS(L424-M424),"")</f>
        <v/>
      </c>
      <c r="W424" s="29" t="n"/>
      <c r="X424" s="29" t="n"/>
      <c r="Y424" s="29" t="n"/>
      <c r="Z424" s="29" t="n"/>
      <c r="AA424" s="29" t="n"/>
      <c r="AB424" s="29" t="n"/>
      <c r="AC424" s="29" t="n"/>
      <c r="AD424" s="42">
        <f>IF(OR(L424="",Q424="",R424=""),"",IF(H424="Long",(Q424-L424)*R424*IF(S424="",1,S424),(L424-Q424)*R424*IF(S424="",1,S424)))</f>
        <v/>
      </c>
      <c r="AE424" s="45" t="n"/>
      <c r="AF424" s="45" t="n"/>
      <c r="AG424" s="42">
        <f>IF(AD424="","",AD424-IF(AE424="",0,AE424)-IF(AF424="",0,AF424))</f>
        <v/>
      </c>
      <c r="AH424" s="26">
        <f>IFERROR(AG424/U424,"")</f>
        <v/>
      </c>
      <c r="AI424" s="29" t="n"/>
      <c r="AJ424" s="29" t="n"/>
      <c r="AK424" s="29" t="n"/>
      <c r="AL424" s="29" t="n"/>
    </row>
    <row r="425">
      <c r="A425" s="20">
        <f>IF(B425="","","TR-"&amp;TEXT(ROW()-2,"0000"))</f>
        <v/>
      </c>
      <c r="B425" s="39" t="n"/>
      <c r="C425" s="40" t="n"/>
      <c r="D425" s="40" t="n"/>
      <c r="E425" s="23" t="n"/>
      <c r="F425" s="23" t="n"/>
      <c r="G425" s="23" t="n"/>
      <c r="H425" s="23" t="n"/>
      <c r="I425" s="23" t="n"/>
      <c r="J425" s="23" t="n"/>
      <c r="K425" s="23" t="n"/>
      <c r="L425" s="41" t="n"/>
      <c r="M425" s="41" t="n"/>
      <c r="N425" s="41" t="n"/>
      <c r="O425" s="41" t="n"/>
      <c r="P425" s="41" t="n"/>
      <c r="Q425" s="41" t="n"/>
      <c r="R425" s="23" t="n"/>
      <c r="S425" s="23" t="n"/>
      <c r="T425" s="42">
        <f>IF(OR(L425="",M425=""),"",IFERROR(Settings!$B$3*Settings!$B$5,0))</f>
        <v/>
      </c>
      <c r="U425" s="42">
        <f>IF(OR(L425="",M425="",R425=""),"",ABS(L425-M425)*R425*IF(S425="",1,S425))</f>
        <v/>
      </c>
      <c r="V425" s="26">
        <f>IFERROR(ABS(N425-L425)/ABS(L425-M425),"")</f>
        <v/>
      </c>
      <c r="W425" s="23" t="n"/>
      <c r="X425" s="23" t="n"/>
      <c r="Y425" s="23" t="n"/>
      <c r="Z425" s="23" t="n"/>
      <c r="AA425" s="23" t="n"/>
      <c r="AB425" s="23" t="n"/>
      <c r="AC425" s="23" t="n"/>
      <c r="AD425" s="42">
        <f>IF(OR(L425="",Q425="",R425=""),"",IF(H425="Long",(Q425-L425)*R425*IF(S425="",1,S425),(L425-Q425)*R425*IF(S425="",1,S425)))</f>
        <v/>
      </c>
      <c r="AE425" s="41" t="n"/>
      <c r="AF425" s="41" t="n"/>
      <c r="AG425" s="42">
        <f>IF(AD425="","",AD425-IF(AE425="",0,AE425)-IF(AF425="",0,AF425))</f>
        <v/>
      </c>
      <c r="AH425" s="26">
        <f>IFERROR(AG425/U425,"")</f>
        <v/>
      </c>
      <c r="AI425" s="23" t="n"/>
      <c r="AJ425" s="23" t="n"/>
      <c r="AK425" s="23" t="n"/>
      <c r="AL425" s="23" t="n"/>
    </row>
    <row r="426">
      <c r="A426" s="20">
        <f>IF(B426="","","TR-"&amp;TEXT(ROW()-2,"0000"))</f>
        <v/>
      </c>
      <c r="B426" s="43" t="n"/>
      <c r="C426" s="44" t="n"/>
      <c r="D426" s="44" t="n"/>
      <c r="E426" s="29" t="n"/>
      <c r="F426" s="29" t="n"/>
      <c r="G426" s="29" t="n"/>
      <c r="H426" s="29" t="n"/>
      <c r="I426" s="29" t="n"/>
      <c r="J426" s="29" t="n"/>
      <c r="K426" s="29" t="n"/>
      <c r="L426" s="45" t="n"/>
      <c r="M426" s="45" t="n"/>
      <c r="N426" s="45" t="n"/>
      <c r="O426" s="45" t="n"/>
      <c r="P426" s="45" t="n"/>
      <c r="Q426" s="45" t="n"/>
      <c r="R426" s="29" t="n"/>
      <c r="S426" s="29" t="n"/>
      <c r="T426" s="42">
        <f>IF(OR(L426="",M426=""),"",IFERROR(Settings!$B$3*Settings!$B$5,0))</f>
        <v/>
      </c>
      <c r="U426" s="42">
        <f>IF(OR(L426="",M426="",R426=""),"",ABS(L426-M426)*R426*IF(S426="",1,S426))</f>
        <v/>
      </c>
      <c r="V426" s="26">
        <f>IFERROR(ABS(N426-L426)/ABS(L426-M426),"")</f>
        <v/>
      </c>
      <c r="W426" s="29" t="n"/>
      <c r="X426" s="29" t="n"/>
      <c r="Y426" s="29" t="n"/>
      <c r="Z426" s="29" t="n"/>
      <c r="AA426" s="29" t="n"/>
      <c r="AB426" s="29" t="n"/>
      <c r="AC426" s="29" t="n"/>
      <c r="AD426" s="42">
        <f>IF(OR(L426="",Q426="",R426=""),"",IF(H426="Long",(Q426-L426)*R426*IF(S426="",1,S426),(L426-Q426)*R426*IF(S426="",1,S426)))</f>
        <v/>
      </c>
      <c r="AE426" s="45" t="n"/>
      <c r="AF426" s="45" t="n"/>
      <c r="AG426" s="42">
        <f>IF(AD426="","",AD426-IF(AE426="",0,AE426)-IF(AF426="",0,AF426))</f>
        <v/>
      </c>
      <c r="AH426" s="26">
        <f>IFERROR(AG426/U426,"")</f>
        <v/>
      </c>
      <c r="AI426" s="29" t="n"/>
      <c r="AJ426" s="29" t="n"/>
      <c r="AK426" s="29" t="n"/>
      <c r="AL426" s="29" t="n"/>
    </row>
    <row r="427">
      <c r="A427" s="20">
        <f>IF(B427="","","TR-"&amp;TEXT(ROW()-2,"0000"))</f>
        <v/>
      </c>
      <c r="B427" s="39" t="n"/>
      <c r="C427" s="40" t="n"/>
      <c r="D427" s="40" t="n"/>
      <c r="E427" s="23" t="n"/>
      <c r="F427" s="23" t="n"/>
      <c r="G427" s="23" t="n"/>
      <c r="H427" s="23" t="n"/>
      <c r="I427" s="23" t="n"/>
      <c r="J427" s="23" t="n"/>
      <c r="K427" s="23" t="n"/>
      <c r="L427" s="41" t="n"/>
      <c r="M427" s="41" t="n"/>
      <c r="N427" s="41" t="n"/>
      <c r="O427" s="41" t="n"/>
      <c r="P427" s="41" t="n"/>
      <c r="Q427" s="41" t="n"/>
      <c r="R427" s="23" t="n"/>
      <c r="S427" s="23" t="n"/>
      <c r="T427" s="42">
        <f>IF(OR(L427="",M427=""),"",IFERROR(Settings!$B$3*Settings!$B$5,0))</f>
        <v/>
      </c>
      <c r="U427" s="42">
        <f>IF(OR(L427="",M427="",R427=""),"",ABS(L427-M427)*R427*IF(S427="",1,S427))</f>
        <v/>
      </c>
      <c r="V427" s="26">
        <f>IFERROR(ABS(N427-L427)/ABS(L427-M427),"")</f>
        <v/>
      </c>
      <c r="W427" s="23" t="n"/>
      <c r="X427" s="23" t="n"/>
      <c r="Y427" s="23" t="n"/>
      <c r="Z427" s="23" t="n"/>
      <c r="AA427" s="23" t="n"/>
      <c r="AB427" s="23" t="n"/>
      <c r="AC427" s="23" t="n"/>
      <c r="AD427" s="42">
        <f>IF(OR(L427="",Q427="",R427=""),"",IF(H427="Long",(Q427-L427)*R427*IF(S427="",1,S427),(L427-Q427)*R427*IF(S427="",1,S427)))</f>
        <v/>
      </c>
      <c r="AE427" s="41" t="n"/>
      <c r="AF427" s="41" t="n"/>
      <c r="AG427" s="42">
        <f>IF(AD427="","",AD427-IF(AE427="",0,AE427)-IF(AF427="",0,AF427))</f>
        <v/>
      </c>
      <c r="AH427" s="26">
        <f>IFERROR(AG427/U427,"")</f>
        <v/>
      </c>
      <c r="AI427" s="23" t="n"/>
      <c r="AJ427" s="23" t="n"/>
      <c r="AK427" s="23" t="n"/>
      <c r="AL427" s="23" t="n"/>
    </row>
    <row r="428">
      <c r="A428" s="20">
        <f>IF(B428="","","TR-"&amp;TEXT(ROW()-2,"0000"))</f>
        <v/>
      </c>
      <c r="B428" s="43" t="n"/>
      <c r="C428" s="44" t="n"/>
      <c r="D428" s="44" t="n"/>
      <c r="E428" s="29" t="n"/>
      <c r="F428" s="29" t="n"/>
      <c r="G428" s="29" t="n"/>
      <c r="H428" s="29" t="n"/>
      <c r="I428" s="29" t="n"/>
      <c r="J428" s="29" t="n"/>
      <c r="K428" s="29" t="n"/>
      <c r="L428" s="45" t="n"/>
      <c r="M428" s="45" t="n"/>
      <c r="N428" s="45" t="n"/>
      <c r="O428" s="45" t="n"/>
      <c r="P428" s="45" t="n"/>
      <c r="Q428" s="45" t="n"/>
      <c r="R428" s="29" t="n"/>
      <c r="S428" s="29" t="n"/>
      <c r="T428" s="42">
        <f>IF(OR(L428="",M428=""),"",IFERROR(Settings!$B$3*Settings!$B$5,0))</f>
        <v/>
      </c>
      <c r="U428" s="42">
        <f>IF(OR(L428="",M428="",R428=""),"",ABS(L428-M428)*R428*IF(S428="",1,S428))</f>
        <v/>
      </c>
      <c r="V428" s="26">
        <f>IFERROR(ABS(N428-L428)/ABS(L428-M428),"")</f>
        <v/>
      </c>
      <c r="W428" s="29" t="n"/>
      <c r="X428" s="29" t="n"/>
      <c r="Y428" s="29" t="n"/>
      <c r="Z428" s="29" t="n"/>
      <c r="AA428" s="29" t="n"/>
      <c r="AB428" s="29" t="n"/>
      <c r="AC428" s="29" t="n"/>
      <c r="AD428" s="42">
        <f>IF(OR(L428="",Q428="",R428=""),"",IF(H428="Long",(Q428-L428)*R428*IF(S428="",1,S428),(L428-Q428)*R428*IF(S428="",1,S428)))</f>
        <v/>
      </c>
      <c r="AE428" s="45" t="n"/>
      <c r="AF428" s="45" t="n"/>
      <c r="AG428" s="42">
        <f>IF(AD428="","",AD428-IF(AE428="",0,AE428)-IF(AF428="",0,AF428))</f>
        <v/>
      </c>
      <c r="AH428" s="26">
        <f>IFERROR(AG428/U428,"")</f>
        <v/>
      </c>
      <c r="AI428" s="29" t="n"/>
      <c r="AJ428" s="29" t="n"/>
      <c r="AK428" s="29" t="n"/>
      <c r="AL428" s="29" t="n"/>
    </row>
    <row r="429">
      <c r="A429" s="20">
        <f>IF(B429="","","TR-"&amp;TEXT(ROW()-2,"0000"))</f>
        <v/>
      </c>
      <c r="B429" s="39" t="n"/>
      <c r="C429" s="40" t="n"/>
      <c r="D429" s="40" t="n"/>
      <c r="E429" s="23" t="n"/>
      <c r="F429" s="23" t="n"/>
      <c r="G429" s="23" t="n"/>
      <c r="H429" s="23" t="n"/>
      <c r="I429" s="23" t="n"/>
      <c r="J429" s="23" t="n"/>
      <c r="K429" s="23" t="n"/>
      <c r="L429" s="41" t="n"/>
      <c r="M429" s="41" t="n"/>
      <c r="N429" s="41" t="n"/>
      <c r="O429" s="41" t="n"/>
      <c r="P429" s="41" t="n"/>
      <c r="Q429" s="41" t="n"/>
      <c r="R429" s="23" t="n"/>
      <c r="S429" s="23" t="n"/>
      <c r="T429" s="42">
        <f>IF(OR(L429="",M429=""),"",IFERROR(Settings!$B$3*Settings!$B$5,0))</f>
        <v/>
      </c>
      <c r="U429" s="42">
        <f>IF(OR(L429="",M429="",R429=""),"",ABS(L429-M429)*R429*IF(S429="",1,S429))</f>
        <v/>
      </c>
      <c r="V429" s="26">
        <f>IFERROR(ABS(N429-L429)/ABS(L429-M429),"")</f>
        <v/>
      </c>
      <c r="W429" s="23" t="n"/>
      <c r="X429" s="23" t="n"/>
      <c r="Y429" s="23" t="n"/>
      <c r="Z429" s="23" t="n"/>
      <c r="AA429" s="23" t="n"/>
      <c r="AB429" s="23" t="n"/>
      <c r="AC429" s="23" t="n"/>
      <c r="AD429" s="42">
        <f>IF(OR(L429="",Q429="",R429=""),"",IF(H429="Long",(Q429-L429)*R429*IF(S429="",1,S429),(L429-Q429)*R429*IF(S429="",1,S429)))</f>
        <v/>
      </c>
      <c r="AE429" s="41" t="n"/>
      <c r="AF429" s="41" t="n"/>
      <c r="AG429" s="42">
        <f>IF(AD429="","",AD429-IF(AE429="",0,AE429)-IF(AF429="",0,AF429))</f>
        <v/>
      </c>
      <c r="AH429" s="26">
        <f>IFERROR(AG429/U429,"")</f>
        <v/>
      </c>
      <c r="AI429" s="23" t="n"/>
      <c r="AJ429" s="23" t="n"/>
      <c r="AK429" s="23" t="n"/>
      <c r="AL429" s="23" t="n"/>
    </row>
    <row r="430">
      <c r="A430" s="20">
        <f>IF(B430="","","TR-"&amp;TEXT(ROW()-2,"0000"))</f>
        <v/>
      </c>
      <c r="B430" s="43" t="n"/>
      <c r="C430" s="44" t="n"/>
      <c r="D430" s="44" t="n"/>
      <c r="E430" s="29" t="n"/>
      <c r="F430" s="29" t="n"/>
      <c r="G430" s="29" t="n"/>
      <c r="H430" s="29" t="n"/>
      <c r="I430" s="29" t="n"/>
      <c r="J430" s="29" t="n"/>
      <c r="K430" s="29" t="n"/>
      <c r="L430" s="45" t="n"/>
      <c r="M430" s="45" t="n"/>
      <c r="N430" s="45" t="n"/>
      <c r="O430" s="45" t="n"/>
      <c r="P430" s="45" t="n"/>
      <c r="Q430" s="45" t="n"/>
      <c r="R430" s="29" t="n"/>
      <c r="S430" s="29" t="n"/>
      <c r="T430" s="42">
        <f>IF(OR(L430="",M430=""),"",IFERROR(Settings!$B$3*Settings!$B$5,0))</f>
        <v/>
      </c>
      <c r="U430" s="42">
        <f>IF(OR(L430="",M430="",R430=""),"",ABS(L430-M430)*R430*IF(S430="",1,S430))</f>
        <v/>
      </c>
      <c r="V430" s="26">
        <f>IFERROR(ABS(N430-L430)/ABS(L430-M430),"")</f>
        <v/>
      </c>
      <c r="W430" s="29" t="n"/>
      <c r="X430" s="29" t="n"/>
      <c r="Y430" s="29" t="n"/>
      <c r="Z430" s="29" t="n"/>
      <c r="AA430" s="29" t="n"/>
      <c r="AB430" s="29" t="n"/>
      <c r="AC430" s="29" t="n"/>
      <c r="AD430" s="42">
        <f>IF(OR(L430="",Q430="",R430=""),"",IF(H430="Long",(Q430-L430)*R430*IF(S430="",1,S430),(L430-Q430)*R430*IF(S430="",1,S430)))</f>
        <v/>
      </c>
      <c r="AE430" s="45" t="n"/>
      <c r="AF430" s="45" t="n"/>
      <c r="AG430" s="42">
        <f>IF(AD430="","",AD430-IF(AE430="",0,AE430)-IF(AF430="",0,AF430))</f>
        <v/>
      </c>
      <c r="AH430" s="26">
        <f>IFERROR(AG430/U430,"")</f>
        <v/>
      </c>
      <c r="AI430" s="29" t="n"/>
      <c r="AJ430" s="29" t="n"/>
      <c r="AK430" s="29" t="n"/>
      <c r="AL430" s="29" t="n"/>
    </row>
    <row r="431">
      <c r="A431" s="20">
        <f>IF(B431="","","TR-"&amp;TEXT(ROW()-2,"0000"))</f>
        <v/>
      </c>
      <c r="B431" s="39" t="n"/>
      <c r="C431" s="40" t="n"/>
      <c r="D431" s="40" t="n"/>
      <c r="E431" s="23" t="n"/>
      <c r="F431" s="23" t="n"/>
      <c r="G431" s="23" t="n"/>
      <c r="H431" s="23" t="n"/>
      <c r="I431" s="23" t="n"/>
      <c r="J431" s="23" t="n"/>
      <c r="K431" s="23" t="n"/>
      <c r="L431" s="41" t="n"/>
      <c r="M431" s="41" t="n"/>
      <c r="N431" s="41" t="n"/>
      <c r="O431" s="41" t="n"/>
      <c r="P431" s="41" t="n"/>
      <c r="Q431" s="41" t="n"/>
      <c r="R431" s="23" t="n"/>
      <c r="S431" s="23" t="n"/>
      <c r="T431" s="42">
        <f>IF(OR(L431="",M431=""),"",IFERROR(Settings!$B$3*Settings!$B$5,0))</f>
        <v/>
      </c>
      <c r="U431" s="42">
        <f>IF(OR(L431="",M431="",R431=""),"",ABS(L431-M431)*R431*IF(S431="",1,S431))</f>
        <v/>
      </c>
      <c r="V431" s="26">
        <f>IFERROR(ABS(N431-L431)/ABS(L431-M431),"")</f>
        <v/>
      </c>
      <c r="W431" s="23" t="n"/>
      <c r="X431" s="23" t="n"/>
      <c r="Y431" s="23" t="n"/>
      <c r="Z431" s="23" t="n"/>
      <c r="AA431" s="23" t="n"/>
      <c r="AB431" s="23" t="n"/>
      <c r="AC431" s="23" t="n"/>
      <c r="AD431" s="42">
        <f>IF(OR(L431="",Q431="",R431=""),"",IF(H431="Long",(Q431-L431)*R431*IF(S431="",1,S431),(L431-Q431)*R431*IF(S431="",1,S431)))</f>
        <v/>
      </c>
      <c r="AE431" s="41" t="n"/>
      <c r="AF431" s="41" t="n"/>
      <c r="AG431" s="42">
        <f>IF(AD431="","",AD431-IF(AE431="",0,AE431)-IF(AF431="",0,AF431))</f>
        <v/>
      </c>
      <c r="AH431" s="26">
        <f>IFERROR(AG431/U431,"")</f>
        <v/>
      </c>
      <c r="AI431" s="23" t="n"/>
      <c r="AJ431" s="23" t="n"/>
      <c r="AK431" s="23" t="n"/>
      <c r="AL431" s="23" t="n"/>
    </row>
    <row r="432">
      <c r="A432" s="20">
        <f>IF(B432="","","TR-"&amp;TEXT(ROW()-2,"0000"))</f>
        <v/>
      </c>
      <c r="B432" s="43" t="n"/>
      <c r="C432" s="44" t="n"/>
      <c r="D432" s="44" t="n"/>
      <c r="E432" s="29" t="n"/>
      <c r="F432" s="29" t="n"/>
      <c r="G432" s="29" t="n"/>
      <c r="H432" s="29" t="n"/>
      <c r="I432" s="29" t="n"/>
      <c r="J432" s="29" t="n"/>
      <c r="K432" s="29" t="n"/>
      <c r="L432" s="45" t="n"/>
      <c r="M432" s="45" t="n"/>
      <c r="N432" s="45" t="n"/>
      <c r="O432" s="45" t="n"/>
      <c r="P432" s="45" t="n"/>
      <c r="Q432" s="45" t="n"/>
      <c r="R432" s="29" t="n"/>
      <c r="S432" s="29" t="n"/>
      <c r="T432" s="42">
        <f>IF(OR(L432="",M432=""),"",IFERROR(Settings!$B$3*Settings!$B$5,0))</f>
        <v/>
      </c>
      <c r="U432" s="42">
        <f>IF(OR(L432="",M432="",R432=""),"",ABS(L432-M432)*R432*IF(S432="",1,S432))</f>
        <v/>
      </c>
      <c r="V432" s="26">
        <f>IFERROR(ABS(N432-L432)/ABS(L432-M432),"")</f>
        <v/>
      </c>
      <c r="W432" s="29" t="n"/>
      <c r="X432" s="29" t="n"/>
      <c r="Y432" s="29" t="n"/>
      <c r="Z432" s="29" t="n"/>
      <c r="AA432" s="29" t="n"/>
      <c r="AB432" s="29" t="n"/>
      <c r="AC432" s="29" t="n"/>
      <c r="AD432" s="42">
        <f>IF(OR(L432="",Q432="",R432=""),"",IF(H432="Long",(Q432-L432)*R432*IF(S432="",1,S432),(L432-Q432)*R432*IF(S432="",1,S432)))</f>
        <v/>
      </c>
      <c r="AE432" s="45" t="n"/>
      <c r="AF432" s="45" t="n"/>
      <c r="AG432" s="42">
        <f>IF(AD432="","",AD432-IF(AE432="",0,AE432)-IF(AF432="",0,AF432))</f>
        <v/>
      </c>
      <c r="AH432" s="26">
        <f>IFERROR(AG432/U432,"")</f>
        <v/>
      </c>
      <c r="AI432" s="29" t="n"/>
      <c r="AJ432" s="29" t="n"/>
      <c r="AK432" s="29" t="n"/>
      <c r="AL432" s="29" t="n"/>
    </row>
    <row r="433">
      <c r="A433" s="20">
        <f>IF(B433="","","TR-"&amp;TEXT(ROW()-2,"0000"))</f>
        <v/>
      </c>
      <c r="B433" s="39" t="n"/>
      <c r="C433" s="40" t="n"/>
      <c r="D433" s="40" t="n"/>
      <c r="E433" s="23" t="n"/>
      <c r="F433" s="23" t="n"/>
      <c r="G433" s="23" t="n"/>
      <c r="H433" s="23" t="n"/>
      <c r="I433" s="23" t="n"/>
      <c r="J433" s="23" t="n"/>
      <c r="K433" s="23" t="n"/>
      <c r="L433" s="41" t="n"/>
      <c r="M433" s="41" t="n"/>
      <c r="N433" s="41" t="n"/>
      <c r="O433" s="41" t="n"/>
      <c r="P433" s="41" t="n"/>
      <c r="Q433" s="41" t="n"/>
      <c r="R433" s="23" t="n"/>
      <c r="S433" s="23" t="n"/>
      <c r="T433" s="42">
        <f>IF(OR(L433="",M433=""),"",IFERROR(Settings!$B$3*Settings!$B$5,0))</f>
        <v/>
      </c>
      <c r="U433" s="42">
        <f>IF(OR(L433="",M433="",R433=""),"",ABS(L433-M433)*R433*IF(S433="",1,S433))</f>
        <v/>
      </c>
      <c r="V433" s="26">
        <f>IFERROR(ABS(N433-L433)/ABS(L433-M433),"")</f>
        <v/>
      </c>
      <c r="W433" s="23" t="n"/>
      <c r="X433" s="23" t="n"/>
      <c r="Y433" s="23" t="n"/>
      <c r="Z433" s="23" t="n"/>
      <c r="AA433" s="23" t="n"/>
      <c r="AB433" s="23" t="n"/>
      <c r="AC433" s="23" t="n"/>
      <c r="AD433" s="42">
        <f>IF(OR(L433="",Q433="",R433=""),"",IF(H433="Long",(Q433-L433)*R433*IF(S433="",1,S433),(L433-Q433)*R433*IF(S433="",1,S433)))</f>
        <v/>
      </c>
      <c r="AE433" s="41" t="n"/>
      <c r="AF433" s="41" t="n"/>
      <c r="AG433" s="42">
        <f>IF(AD433="","",AD433-IF(AE433="",0,AE433)-IF(AF433="",0,AF433))</f>
        <v/>
      </c>
      <c r="AH433" s="26">
        <f>IFERROR(AG433/U433,"")</f>
        <v/>
      </c>
      <c r="AI433" s="23" t="n"/>
      <c r="AJ433" s="23" t="n"/>
      <c r="AK433" s="23" t="n"/>
      <c r="AL433" s="23" t="n"/>
    </row>
    <row r="434">
      <c r="A434" s="20">
        <f>IF(B434="","","TR-"&amp;TEXT(ROW()-2,"0000"))</f>
        <v/>
      </c>
      <c r="B434" s="43" t="n"/>
      <c r="C434" s="44" t="n"/>
      <c r="D434" s="44" t="n"/>
      <c r="E434" s="29" t="n"/>
      <c r="F434" s="29" t="n"/>
      <c r="G434" s="29" t="n"/>
      <c r="H434" s="29" t="n"/>
      <c r="I434" s="29" t="n"/>
      <c r="J434" s="29" t="n"/>
      <c r="K434" s="29" t="n"/>
      <c r="L434" s="45" t="n"/>
      <c r="M434" s="45" t="n"/>
      <c r="N434" s="45" t="n"/>
      <c r="O434" s="45" t="n"/>
      <c r="P434" s="45" t="n"/>
      <c r="Q434" s="45" t="n"/>
      <c r="R434" s="29" t="n"/>
      <c r="S434" s="29" t="n"/>
      <c r="T434" s="42">
        <f>IF(OR(L434="",M434=""),"",IFERROR(Settings!$B$3*Settings!$B$5,0))</f>
        <v/>
      </c>
      <c r="U434" s="42">
        <f>IF(OR(L434="",M434="",R434=""),"",ABS(L434-M434)*R434*IF(S434="",1,S434))</f>
        <v/>
      </c>
      <c r="V434" s="26">
        <f>IFERROR(ABS(N434-L434)/ABS(L434-M434),"")</f>
        <v/>
      </c>
      <c r="W434" s="29" t="n"/>
      <c r="X434" s="29" t="n"/>
      <c r="Y434" s="29" t="n"/>
      <c r="Z434" s="29" t="n"/>
      <c r="AA434" s="29" t="n"/>
      <c r="AB434" s="29" t="n"/>
      <c r="AC434" s="29" t="n"/>
      <c r="AD434" s="42">
        <f>IF(OR(L434="",Q434="",R434=""),"",IF(H434="Long",(Q434-L434)*R434*IF(S434="",1,S434),(L434-Q434)*R434*IF(S434="",1,S434)))</f>
        <v/>
      </c>
      <c r="AE434" s="45" t="n"/>
      <c r="AF434" s="45" t="n"/>
      <c r="AG434" s="42">
        <f>IF(AD434="","",AD434-IF(AE434="",0,AE434)-IF(AF434="",0,AF434))</f>
        <v/>
      </c>
      <c r="AH434" s="26">
        <f>IFERROR(AG434/U434,"")</f>
        <v/>
      </c>
      <c r="AI434" s="29" t="n"/>
      <c r="AJ434" s="29" t="n"/>
      <c r="AK434" s="29" t="n"/>
      <c r="AL434" s="29" t="n"/>
    </row>
    <row r="435">
      <c r="A435" s="20">
        <f>IF(B435="","","TR-"&amp;TEXT(ROW()-2,"0000"))</f>
        <v/>
      </c>
      <c r="B435" s="39" t="n"/>
      <c r="C435" s="40" t="n"/>
      <c r="D435" s="40" t="n"/>
      <c r="E435" s="23" t="n"/>
      <c r="F435" s="23" t="n"/>
      <c r="G435" s="23" t="n"/>
      <c r="H435" s="23" t="n"/>
      <c r="I435" s="23" t="n"/>
      <c r="J435" s="23" t="n"/>
      <c r="K435" s="23" t="n"/>
      <c r="L435" s="41" t="n"/>
      <c r="M435" s="41" t="n"/>
      <c r="N435" s="41" t="n"/>
      <c r="O435" s="41" t="n"/>
      <c r="P435" s="41" t="n"/>
      <c r="Q435" s="41" t="n"/>
      <c r="R435" s="23" t="n"/>
      <c r="S435" s="23" t="n"/>
      <c r="T435" s="42">
        <f>IF(OR(L435="",M435=""),"",IFERROR(Settings!$B$3*Settings!$B$5,0))</f>
        <v/>
      </c>
      <c r="U435" s="42">
        <f>IF(OR(L435="",M435="",R435=""),"",ABS(L435-M435)*R435*IF(S435="",1,S435))</f>
        <v/>
      </c>
      <c r="V435" s="26">
        <f>IFERROR(ABS(N435-L435)/ABS(L435-M435),"")</f>
        <v/>
      </c>
      <c r="W435" s="23" t="n"/>
      <c r="X435" s="23" t="n"/>
      <c r="Y435" s="23" t="n"/>
      <c r="Z435" s="23" t="n"/>
      <c r="AA435" s="23" t="n"/>
      <c r="AB435" s="23" t="n"/>
      <c r="AC435" s="23" t="n"/>
      <c r="AD435" s="42">
        <f>IF(OR(L435="",Q435="",R435=""),"",IF(H435="Long",(Q435-L435)*R435*IF(S435="",1,S435),(L435-Q435)*R435*IF(S435="",1,S435)))</f>
        <v/>
      </c>
      <c r="AE435" s="41" t="n"/>
      <c r="AF435" s="41" t="n"/>
      <c r="AG435" s="42">
        <f>IF(AD435="","",AD435-IF(AE435="",0,AE435)-IF(AF435="",0,AF435))</f>
        <v/>
      </c>
      <c r="AH435" s="26">
        <f>IFERROR(AG435/U435,"")</f>
        <v/>
      </c>
      <c r="AI435" s="23" t="n"/>
      <c r="AJ435" s="23" t="n"/>
      <c r="AK435" s="23" t="n"/>
      <c r="AL435" s="23" t="n"/>
    </row>
    <row r="436">
      <c r="A436" s="20">
        <f>IF(B436="","","TR-"&amp;TEXT(ROW()-2,"0000"))</f>
        <v/>
      </c>
      <c r="B436" s="43" t="n"/>
      <c r="C436" s="44" t="n"/>
      <c r="D436" s="44" t="n"/>
      <c r="E436" s="29" t="n"/>
      <c r="F436" s="29" t="n"/>
      <c r="G436" s="29" t="n"/>
      <c r="H436" s="29" t="n"/>
      <c r="I436" s="29" t="n"/>
      <c r="J436" s="29" t="n"/>
      <c r="K436" s="29" t="n"/>
      <c r="L436" s="45" t="n"/>
      <c r="M436" s="45" t="n"/>
      <c r="N436" s="45" t="n"/>
      <c r="O436" s="45" t="n"/>
      <c r="P436" s="45" t="n"/>
      <c r="Q436" s="45" t="n"/>
      <c r="R436" s="29" t="n"/>
      <c r="S436" s="29" t="n"/>
      <c r="T436" s="42">
        <f>IF(OR(L436="",M436=""),"",IFERROR(Settings!$B$3*Settings!$B$5,0))</f>
        <v/>
      </c>
      <c r="U436" s="42">
        <f>IF(OR(L436="",M436="",R436=""),"",ABS(L436-M436)*R436*IF(S436="",1,S436))</f>
        <v/>
      </c>
      <c r="V436" s="26">
        <f>IFERROR(ABS(N436-L436)/ABS(L436-M436),"")</f>
        <v/>
      </c>
      <c r="W436" s="29" t="n"/>
      <c r="X436" s="29" t="n"/>
      <c r="Y436" s="29" t="n"/>
      <c r="Z436" s="29" t="n"/>
      <c r="AA436" s="29" t="n"/>
      <c r="AB436" s="29" t="n"/>
      <c r="AC436" s="29" t="n"/>
      <c r="AD436" s="42">
        <f>IF(OR(L436="",Q436="",R436=""),"",IF(H436="Long",(Q436-L436)*R436*IF(S436="",1,S436),(L436-Q436)*R436*IF(S436="",1,S436)))</f>
        <v/>
      </c>
      <c r="AE436" s="45" t="n"/>
      <c r="AF436" s="45" t="n"/>
      <c r="AG436" s="42">
        <f>IF(AD436="","",AD436-IF(AE436="",0,AE436)-IF(AF436="",0,AF436))</f>
        <v/>
      </c>
      <c r="AH436" s="26">
        <f>IFERROR(AG436/U436,"")</f>
        <v/>
      </c>
      <c r="AI436" s="29" t="n"/>
      <c r="AJ436" s="29" t="n"/>
      <c r="AK436" s="29" t="n"/>
      <c r="AL436" s="29" t="n"/>
    </row>
    <row r="437">
      <c r="A437" s="20">
        <f>IF(B437="","","TR-"&amp;TEXT(ROW()-2,"0000"))</f>
        <v/>
      </c>
      <c r="B437" s="39" t="n"/>
      <c r="C437" s="40" t="n"/>
      <c r="D437" s="40" t="n"/>
      <c r="E437" s="23" t="n"/>
      <c r="F437" s="23" t="n"/>
      <c r="G437" s="23" t="n"/>
      <c r="H437" s="23" t="n"/>
      <c r="I437" s="23" t="n"/>
      <c r="J437" s="23" t="n"/>
      <c r="K437" s="23" t="n"/>
      <c r="L437" s="41" t="n"/>
      <c r="M437" s="41" t="n"/>
      <c r="N437" s="41" t="n"/>
      <c r="O437" s="41" t="n"/>
      <c r="P437" s="41" t="n"/>
      <c r="Q437" s="41" t="n"/>
      <c r="R437" s="23" t="n"/>
      <c r="S437" s="23" t="n"/>
      <c r="T437" s="42">
        <f>IF(OR(L437="",M437=""),"",IFERROR(Settings!$B$3*Settings!$B$5,0))</f>
        <v/>
      </c>
      <c r="U437" s="42">
        <f>IF(OR(L437="",M437="",R437=""),"",ABS(L437-M437)*R437*IF(S437="",1,S437))</f>
        <v/>
      </c>
      <c r="V437" s="26">
        <f>IFERROR(ABS(N437-L437)/ABS(L437-M437),"")</f>
        <v/>
      </c>
      <c r="W437" s="23" t="n"/>
      <c r="X437" s="23" t="n"/>
      <c r="Y437" s="23" t="n"/>
      <c r="Z437" s="23" t="n"/>
      <c r="AA437" s="23" t="n"/>
      <c r="AB437" s="23" t="n"/>
      <c r="AC437" s="23" t="n"/>
      <c r="AD437" s="42">
        <f>IF(OR(L437="",Q437="",R437=""),"",IF(H437="Long",(Q437-L437)*R437*IF(S437="",1,S437),(L437-Q437)*R437*IF(S437="",1,S437)))</f>
        <v/>
      </c>
      <c r="AE437" s="41" t="n"/>
      <c r="AF437" s="41" t="n"/>
      <c r="AG437" s="42">
        <f>IF(AD437="","",AD437-IF(AE437="",0,AE437)-IF(AF437="",0,AF437))</f>
        <v/>
      </c>
      <c r="AH437" s="26">
        <f>IFERROR(AG437/U437,"")</f>
        <v/>
      </c>
      <c r="AI437" s="23" t="n"/>
      <c r="AJ437" s="23" t="n"/>
      <c r="AK437" s="23" t="n"/>
      <c r="AL437" s="23" t="n"/>
    </row>
    <row r="438">
      <c r="A438" s="20">
        <f>IF(B438="","","TR-"&amp;TEXT(ROW()-2,"0000"))</f>
        <v/>
      </c>
      <c r="B438" s="43" t="n"/>
      <c r="C438" s="44" t="n"/>
      <c r="D438" s="44" t="n"/>
      <c r="E438" s="29" t="n"/>
      <c r="F438" s="29" t="n"/>
      <c r="G438" s="29" t="n"/>
      <c r="H438" s="29" t="n"/>
      <c r="I438" s="29" t="n"/>
      <c r="J438" s="29" t="n"/>
      <c r="K438" s="29" t="n"/>
      <c r="L438" s="45" t="n"/>
      <c r="M438" s="45" t="n"/>
      <c r="N438" s="45" t="n"/>
      <c r="O438" s="45" t="n"/>
      <c r="P438" s="45" t="n"/>
      <c r="Q438" s="45" t="n"/>
      <c r="R438" s="29" t="n"/>
      <c r="S438" s="29" t="n"/>
      <c r="T438" s="42">
        <f>IF(OR(L438="",M438=""),"",IFERROR(Settings!$B$3*Settings!$B$5,0))</f>
        <v/>
      </c>
      <c r="U438" s="42">
        <f>IF(OR(L438="",M438="",R438=""),"",ABS(L438-M438)*R438*IF(S438="",1,S438))</f>
        <v/>
      </c>
      <c r="V438" s="26">
        <f>IFERROR(ABS(N438-L438)/ABS(L438-M438),"")</f>
        <v/>
      </c>
      <c r="W438" s="29" t="n"/>
      <c r="X438" s="29" t="n"/>
      <c r="Y438" s="29" t="n"/>
      <c r="Z438" s="29" t="n"/>
      <c r="AA438" s="29" t="n"/>
      <c r="AB438" s="29" t="n"/>
      <c r="AC438" s="29" t="n"/>
      <c r="AD438" s="42">
        <f>IF(OR(L438="",Q438="",R438=""),"",IF(H438="Long",(Q438-L438)*R438*IF(S438="",1,S438),(L438-Q438)*R438*IF(S438="",1,S438)))</f>
        <v/>
      </c>
      <c r="AE438" s="45" t="n"/>
      <c r="AF438" s="45" t="n"/>
      <c r="AG438" s="42">
        <f>IF(AD438="","",AD438-IF(AE438="",0,AE438)-IF(AF438="",0,AF438))</f>
        <v/>
      </c>
      <c r="AH438" s="26">
        <f>IFERROR(AG438/U438,"")</f>
        <v/>
      </c>
      <c r="AI438" s="29" t="n"/>
      <c r="AJ438" s="29" t="n"/>
      <c r="AK438" s="29" t="n"/>
      <c r="AL438" s="29" t="n"/>
    </row>
    <row r="439">
      <c r="A439" s="20">
        <f>IF(B439="","","TR-"&amp;TEXT(ROW()-2,"0000"))</f>
        <v/>
      </c>
      <c r="B439" s="39" t="n"/>
      <c r="C439" s="40" t="n"/>
      <c r="D439" s="40" t="n"/>
      <c r="E439" s="23" t="n"/>
      <c r="F439" s="23" t="n"/>
      <c r="G439" s="23" t="n"/>
      <c r="H439" s="23" t="n"/>
      <c r="I439" s="23" t="n"/>
      <c r="J439" s="23" t="n"/>
      <c r="K439" s="23" t="n"/>
      <c r="L439" s="41" t="n"/>
      <c r="M439" s="41" t="n"/>
      <c r="N439" s="41" t="n"/>
      <c r="O439" s="41" t="n"/>
      <c r="P439" s="41" t="n"/>
      <c r="Q439" s="41" t="n"/>
      <c r="R439" s="23" t="n"/>
      <c r="S439" s="23" t="n"/>
      <c r="T439" s="42">
        <f>IF(OR(L439="",M439=""),"",IFERROR(Settings!$B$3*Settings!$B$5,0))</f>
        <v/>
      </c>
      <c r="U439" s="42">
        <f>IF(OR(L439="",M439="",R439=""),"",ABS(L439-M439)*R439*IF(S439="",1,S439))</f>
        <v/>
      </c>
      <c r="V439" s="26">
        <f>IFERROR(ABS(N439-L439)/ABS(L439-M439),"")</f>
        <v/>
      </c>
      <c r="W439" s="23" t="n"/>
      <c r="X439" s="23" t="n"/>
      <c r="Y439" s="23" t="n"/>
      <c r="Z439" s="23" t="n"/>
      <c r="AA439" s="23" t="n"/>
      <c r="AB439" s="23" t="n"/>
      <c r="AC439" s="23" t="n"/>
      <c r="AD439" s="42">
        <f>IF(OR(L439="",Q439="",R439=""),"",IF(H439="Long",(Q439-L439)*R439*IF(S439="",1,S439),(L439-Q439)*R439*IF(S439="",1,S439)))</f>
        <v/>
      </c>
      <c r="AE439" s="41" t="n"/>
      <c r="AF439" s="41" t="n"/>
      <c r="AG439" s="42">
        <f>IF(AD439="","",AD439-IF(AE439="",0,AE439)-IF(AF439="",0,AF439))</f>
        <v/>
      </c>
      <c r="AH439" s="26">
        <f>IFERROR(AG439/U439,"")</f>
        <v/>
      </c>
      <c r="AI439" s="23" t="n"/>
      <c r="AJ439" s="23" t="n"/>
      <c r="AK439" s="23" t="n"/>
      <c r="AL439" s="23" t="n"/>
    </row>
    <row r="440">
      <c r="A440" s="20">
        <f>IF(B440="","","TR-"&amp;TEXT(ROW()-2,"0000"))</f>
        <v/>
      </c>
      <c r="B440" s="43" t="n"/>
      <c r="C440" s="44" t="n"/>
      <c r="D440" s="44" t="n"/>
      <c r="E440" s="29" t="n"/>
      <c r="F440" s="29" t="n"/>
      <c r="G440" s="29" t="n"/>
      <c r="H440" s="29" t="n"/>
      <c r="I440" s="29" t="n"/>
      <c r="J440" s="29" t="n"/>
      <c r="K440" s="29" t="n"/>
      <c r="L440" s="45" t="n"/>
      <c r="M440" s="45" t="n"/>
      <c r="N440" s="45" t="n"/>
      <c r="O440" s="45" t="n"/>
      <c r="P440" s="45" t="n"/>
      <c r="Q440" s="45" t="n"/>
      <c r="R440" s="29" t="n"/>
      <c r="S440" s="29" t="n"/>
      <c r="T440" s="42">
        <f>IF(OR(L440="",M440=""),"",IFERROR(Settings!$B$3*Settings!$B$5,0))</f>
        <v/>
      </c>
      <c r="U440" s="42">
        <f>IF(OR(L440="",M440="",R440=""),"",ABS(L440-M440)*R440*IF(S440="",1,S440))</f>
        <v/>
      </c>
      <c r="V440" s="26">
        <f>IFERROR(ABS(N440-L440)/ABS(L440-M440),"")</f>
        <v/>
      </c>
      <c r="W440" s="29" t="n"/>
      <c r="X440" s="29" t="n"/>
      <c r="Y440" s="29" t="n"/>
      <c r="Z440" s="29" t="n"/>
      <c r="AA440" s="29" t="n"/>
      <c r="AB440" s="29" t="n"/>
      <c r="AC440" s="29" t="n"/>
      <c r="AD440" s="42">
        <f>IF(OR(L440="",Q440="",R440=""),"",IF(H440="Long",(Q440-L440)*R440*IF(S440="",1,S440),(L440-Q440)*R440*IF(S440="",1,S440)))</f>
        <v/>
      </c>
      <c r="AE440" s="45" t="n"/>
      <c r="AF440" s="45" t="n"/>
      <c r="AG440" s="42">
        <f>IF(AD440="","",AD440-IF(AE440="",0,AE440)-IF(AF440="",0,AF440))</f>
        <v/>
      </c>
      <c r="AH440" s="26">
        <f>IFERROR(AG440/U440,"")</f>
        <v/>
      </c>
      <c r="AI440" s="29" t="n"/>
      <c r="AJ440" s="29" t="n"/>
      <c r="AK440" s="29" t="n"/>
      <c r="AL440" s="29" t="n"/>
    </row>
    <row r="441">
      <c r="A441" s="20">
        <f>IF(B441="","","TR-"&amp;TEXT(ROW()-2,"0000"))</f>
        <v/>
      </c>
      <c r="B441" s="39" t="n"/>
      <c r="C441" s="40" t="n"/>
      <c r="D441" s="40" t="n"/>
      <c r="E441" s="23" t="n"/>
      <c r="F441" s="23" t="n"/>
      <c r="G441" s="23" t="n"/>
      <c r="H441" s="23" t="n"/>
      <c r="I441" s="23" t="n"/>
      <c r="J441" s="23" t="n"/>
      <c r="K441" s="23" t="n"/>
      <c r="L441" s="41" t="n"/>
      <c r="M441" s="41" t="n"/>
      <c r="N441" s="41" t="n"/>
      <c r="O441" s="41" t="n"/>
      <c r="P441" s="41" t="n"/>
      <c r="Q441" s="41" t="n"/>
      <c r="R441" s="23" t="n"/>
      <c r="S441" s="23" t="n"/>
      <c r="T441" s="42">
        <f>IF(OR(L441="",M441=""),"",IFERROR(Settings!$B$3*Settings!$B$5,0))</f>
        <v/>
      </c>
      <c r="U441" s="42">
        <f>IF(OR(L441="",M441="",R441=""),"",ABS(L441-M441)*R441*IF(S441="",1,S441))</f>
        <v/>
      </c>
      <c r="V441" s="26">
        <f>IFERROR(ABS(N441-L441)/ABS(L441-M441),"")</f>
        <v/>
      </c>
      <c r="W441" s="23" t="n"/>
      <c r="X441" s="23" t="n"/>
      <c r="Y441" s="23" t="n"/>
      <c r="Z441" s="23" t="n"/>
      <c r="AA441" s="23" t="n"/>
      <c r="AB441" s="23" t="n"/>
      <c r="AC441" s="23" t="n"/>
      <c r="AD441" s="42">
        <f>IF(OR(L441="",Q441="",R441=""),"",IF(H441="Long",(Q441-L441)*R441*IF(S441="",1,S441),(L441-Q441)*R441*IF(S441="",1,S441)))</f>
        <v/>
      </c>
      <c r="AE441" s="41" t="n"/>
      <c r="AF441" s="41" t="n"/>
      <c r="AG441" s="42">
        <f>IF(AD441="","",AD441-IF(AE441="",0,AE441)-IF(AF441="",0,AF441))</f>
        <v/>
      </c>
      <c r="AH441" s="26">
        <f>IFERROR(AG441/U441,"")</f>
        <v/>
      </c>
      <c r="AI441" s="23" t="n"/>
      <c r="AJ441" s="23" t="n"/>
      <c r="AK441" s="23" t="n"/>
      <c r="AL441" s="23" t="n"/>
    </row>
    <row r="442">
      <c r="A442" s="20">
        <f>IF(B442="","","TR-"&amp;TEXT(ROW()-2,"0000"))</f>
        <v/>
      </c>
      <c r="B442" s="43" t="n"/>
      <c r="C442" s="44" t="n"/>
      <c r="D442" s="44" t="n"/>
      <c r="E442" s="29" t="n"/>
      <c r="F442" s="29" t="n"/>
      <c r="G442" s="29" t="n"/>
      <c r="H442" s="29" t="n"/>
      <c r="I442" s="29" t="n"/>
      <c r="J442" s="29" t="n"/>
      <c r="K442" s="29" t="n"/>
      <c r="L442" s="45" t="n"/>
      <c r="M442" s="45" t="n"/>
      <c r="N442" s="45" t="n"/>
      <c r="O442" s="45" t="n"/>
      <c r="P442" s="45" t="n"/>
      <c r="Q442" s="45" t="n"/>
      <c r="R442" s="29" t="n"/>
      <c r="S442" s="29" t="n"/>
      <c r="T442" s="42">
        <f>IF(OR(L442="",M442=""),"",IFERROR(Settings!$B$3*Settings!$B$5,0))</f>
        <v/>
      </c>
      <c r="U442" s="42">
        <f>IF(OR(L442="",M442="",R442=""),"",ABS(L442-M442)*R442*IF(S442="",1,S442))</f>
        <v/>
      </c>
      <c r="V442" s="26">
        <f>IFERROR(ABS(N442-L442)/ABS(L442-M442),"")</f>
        <v/>
      </c>
      <c r="W442" s="29" t="n"/>
      <c r="X442" s="29" t="n"/>
      <c r="Y442" s="29" t="n"/>
      <c r="Z442" s="29" t="n"/>
      <c r="AA442" s="29" t="n"/>
      <c r="AB442" s="29" t="n"/>
      <c r="AC442" s="29" t="n"/>
      <c r="AD442" s="42">
        <f>IF(OR(L442="",Q442="",R442=""),"",IF(H442="Long",(Q442-L442)*R442*IF(S442="",1,S442),(L442-Q442)*R442*IF(S442="",1,S442)))</f>
        <v/>
      </c>
      <c r="AE442" s="45" t="n"/>
      <c r="AF442" s="45" t="n"/>
      <c r="AG442" s="42">
        <f>IF(AD442="","",AD442-IF(AE442="",0,AE442)-IF(AF442="",0,AF442))</f>
        <v/>
      </c>
      <c r="AH442" s="26">
        <f>IFERROR(AG442/U442,"")</f>
        <v/>
      </c>
      <c r="AI442" s="29" t="n"/>
      <c r="AJ442" s="29" t="n"/>
      <c r="AK442" s="29" t="n"/>
      <c r="AL442" s="29" t="n"/>
    </row>
    <row r="443">
      <c r="A443" s="20">
        <f>IF(B443="","","TR-"&amp;TEXT(ROW()-2,"0000"))</f>
        <v/>
      </c>
      <c r="B443" s="39" t="n"/>
      <c r="C443" s="40" t="n"/>
      <c r="D443" s="40" t="n"/>
      <c r="E443" s="23" t="n"/>
      <c r="F443" s="23" t="n"/>
      <c r="G443" s="23" t="n"/>
      <c r="H443" s="23" t="n"/>
      <c r="I443" s="23" t="n"/>
      <c r="J443" s="23" t="n"/>
      <c r="K443" s="23" t="n"/>
      <c r="L443" s="41" t="n"/>
      <c r="M443" s="41" t="n"/>
      <c r="N443" s="41" t="n"/>
      <c r="O443" s="41" t="n"/>
      <c r="P443" s="41" t="n"/>
      <c r="Q443" s="41" t="n"/>
      <c r="R443" s="23" t="n"/>
      <c r="S443" s="23" t="n"/>
      <c r="T443" s="42">
        <f>IF(OR(L443="",M443=""),"",IFERROR(Settings!$B$3*Settings!$B$5,0))</f>
        <v/>
      </c>
      <c r="U443" s="42">
        <f>IF(OR(L443="",M443="",R443=""),"",ABS(L443-M443)*R443*IF(S443="",1,S443))</f>
        <v/>
      </c>
      <c r="V443" s="26">
        <f>IFERROR(ABS(N443-L443)/ABS(L443-M443),"")</f>
        <v/>
      </c>
      <c r="W443" s="23" t="n"/>
      <c r="X443" s="23" t="n"/>
      <c r="Y443" s="23" t="n"/>
      <c r="Z443" s="23" t="n"/>
      <c r="AA443" s="23" t="n"/>
      <c r="AB443" s="23" t="n"/>
      <c r="AC443" s="23" t="n"/>
      <c r="AD443" s="42">
        <f>IF(OR(L443="",Q443="",R443=""),"",IF(H443="Long",(Q443-L443)*R443*IF(S443="",1,S443),(L443-Q443)*R443*IF(S443="",1,S443)))</f>
        <v/>
      </c>
      <c r="AE443" s="41" t="n"/>
      <c r="AF443" s="41" t="n"/>
      <c r="AG443" s="42">
        <f>IF(AD443="","",AD443-IF(AE443="",0,AE443)-IF(AF443="",0,AF443))</f>
        <v/>
      </c>
      <c r="AH443" s="26">
        <f>IFERROR(AG443/U443,"")</f>
        <v/>
      </c>
      <c r="AI443" s="23" t="n"/>
      <c r="AJ443" s="23" t="n"/>
      <c r="AK443" s="23" t="n"/>
      <c r="AL443" s="23" t="n"/>
    </row>
    <row r="444">
      <c r="A444" s="20">
        <f>IF(B444="","","TR-"&amp;TEXT(ROW()-2,"0000"))</f>
        <v/>
      </c>
      <c r="B444" s="43" t="n"/>
      <c r="C444" s="44" t="n"/>
      <c r="D444" s="44" t="n"/>
      <c r="E444" s="29" t="n"/>
      <c r="F444" s="29" t="n"/>
      <c r="G444" s="29" t="n"/>
      <c r="H444" s="29" t="n"/>
      <c r="I444" s="29" t="n"/>
      <c r="J444" s="29" t="n"/>
      <c r="K444" s="29" t="n"/>
      <c r="L444" s="45" t="n"/>
      <c r="M444" s="45" t="n"/>
      <c r="N444" s="45" t="n"/>
      <c r="O444" s="45" t="n"/>
      <c r="P444" s="45" t="n"/>
      <c r="Q444" s="45" t="n"/>
      <c r="R444" s="29" t="n"/>
      <c r="S444" s="29" t="n"/>
      <c r="T444" s="42">
        <f>IF(OR(L444="",M444=""),"",IFERROR(Settings!$B$3*Settings!$B$5,0))</f>
        <v/>
      </c>
      <c r="U444" s="42">
        <f>IF(OR(L444="",M444="",R444=""),"",ABS(L444-M444)*R444*IF(S444="",1,S444))</f>
        <v/>
      </c>
      <c r="V444" s="26">
        <f>IFERROR(ABS(N444-L444)/ABS(L444-M444),"")</f>
        <v/>
      </c>
      <c r="W444" s="29" t="n"/>
      <c r="X444" s="29" t="n"/>
      <c r="Y444" s="29" t="n"/>
      <c r="Z444" s="29" t="n"/>
      <c r="AA444" s="29" t="n"/>
      <c r="AB444" s="29" t="n"/>
      <c r="AC444" s="29" t="n"/>
      <c r="AD444" s="42">
        <f>IF(OR(L444="",Q444="",R444=""),"",IF(H444="Long",(Q444-L444)*R444*IF(S444="",1,S444),(L444-Q444)*R444*IF(S444="",1,S444)))</f>
        <v/>
      </c>
      <c r="AE444" s="45" t="n"/>
      <c r="AF444" s="45" t="n"/>
      <c r="AG444" s="42">
        <f>IF(AD444="","",AD444-IF(AE444="",0,AE444)-IF(AF444="",0,AF444))</f>
        <v/>
      </c>
      <c r="AH444" s="26">
        <f>IFERROR(AG444/U444,"")</f>
        <v/>
      </c>
      <c r="AI444" s="29" t="n"/>
      <c r="AJ444" s="29" t="n"/>
      <c r="AK444" s="29" t="n"/>
      <c r="AL444" s="29" t="n"/>
    </row>
    <row r="445">
      <c r="A445" s="20">
        <f>IF(B445="","","TR-"&amp;TEXT(ROW()-2,"0000"))</f>
        <v/>
      </c>
      <c r="B445" s="39" t="n"/>
      <c r="C445" s="40" t="n"/>
      <c r="D445" s="40" t="n"/>
      <c r="E445" s="23" t="n"/>
      <c r="F445" s="23" t="n"/>
      <c r="G445" s="23" t="n"/>
      <c r="H445" s="23" t="n"/>
      <c r="I445" s="23" t="n"/>
      <c r="J445" s="23" t="n"/>
      <c r="K445" s="23" t="n"/>
      <c r="L445" s="41" t="n"/>
      <c r="M445" s="41" t="n"/>
      <c r="N445" s="41" t="n"/>
      <c r="O445" s="41" t="n"/>
      <c r="P445" s="41" t="n"/>
      <c r="Q445" s="41" t="n"/>
      <c r="R445" s="23" t="n"/>
      <c r="S445" s="23" t="n"/>
      <c r="T445" s="42">
        <f>IF(OR(L445="",M445=""),"",IFERROR(Settings!$B$3*Settings!$B$5,0))</f>
        <v/>
      </c>
      <c r="U445" s="42">
        <f>IF(OR(L445="",M445="",R445=""),"",ABS(L445-M445)*R445*IF(S445="",1,S445))</f>
        <v/>
      </c>
      <c r="V445" s="26">
        <f>IFERROR(ABS(N445-L445)/ABS(L445-M445),"")</f>
        <v/>
      </c>
      <c r="W445" s="23" t="n"/>
      <c r="X445" s="23" t="n"/>
      <c r="Y445" s="23" t="n"/>
      <c r="Z445" s="23" t="n"/>
      <c r="AA445" s="23" t="n"/>
      <c r="AB445" s="23" t="n"/>
      <c r="AC445" s="23" t="n"/>
      <c r="AD445" s="42">
        <f>IF(OR(L445="",Q445="",R445=""),"",IF(H445="Long",(Q445-L445)*R445*IF(S445="",1,S445),(L445-Q445)*R445*IF(S445="",1,S445)))</f>
        <v/>
      </c>
      <c r="AE445" s="41" t="n"/>
      <c r="AF445" s="41" t="n"/>
      <c r="AG445" s="42">
        <f>IF(AD445="","",AD445-IF(AE445="",0,AE445)-IF(AF445="",0,AF445))</f>
        <v/>
      </c>
      <c r="AH445" s="26">
        <f>IFERROR(AG445/U445,"")</f>
        <v/>
      </c>
      <c r="AI445" s="23" t="n"/>
      <c r="AJ445" s="23" t="n"/>
      <c r="AK445" s="23" t="n"/>
      <c r="AL445" s="23" t="n"/>
    </row>
    <row r="446">
      <c r="A446" s="20">
        <f>IF(B446="","","TR-"&amp;TEXT(ROW()-2,"0000"))</f>
        <v/>
      </c>
      <c r="B446" s="43" t="n"/>
      <c r="C446" s="44" t="n"/>
      <c r="D446" s="44" t="n"/>
      <c r="E446" s="29" t="n"/>
      <c r="F446" s="29" t="n"/>
      <c r="G446" s="29" t="n"/>
      <c r="H446" s="29" t="n"/>
      <c r="I446" s="29" t="n"/>
      <c r="J446" s="29" t="n"/>
      <c r="K446" s="29" t="n"/>
      <c r="L446" s="45" t="n"/>
      <c r="M446" s="45" t="n"/>
      <c r="N446" s="45" t="n"/>
      <c r="O446" s="45" t="n"/>
      <c r="P446" s="45" t="n"/>
      <c r="Q446" s="45" t="n"/>
      <c r="R446" s="29" t="n"/>
      <c r="S446" s="29" t="n"/>
      <c r="T446" s="42">
        <f>IF(OR(L446="",M446=""),"",IFERROR(Settings!$B$3*Settings!$B$5,0))</f>
        <v/>
      </c>
      <c r="U446" s="42">
        <f>IF(OR(L446="",M446="",R446=""),"",ABS(L446-M446)*R446*IF(S446="",1,S446))</f>
        <v/>
      </c>
      <c r="V446" s="26">
        <f>IFERROR(ABS(N446-L446)/ABS(L446-M446),"")</f>
        <v/>
      </c>
      <c r="W446" s="29" t="n"/>
      <c r="X446" s="29" t="n"/>
      <c r="Y446" s="29" t="n"/>
      <c r="Z446" s="29" t="n"/>
      <c r="AA446" s="29" t="n"/>
      <c r="AB446" s="29" t="n"/>
      <c r="AC446" s="29" t="n"/>
      <c r="AD446" s="42">
        <f>IF(OR(L446="",Q446="",R446=""),"",IF(H446="Long",(Q446-L446)*R446*IF(S446="",1,S446),(L446-Q446)*R446*IF(S446="",1,S446)))</f>
        <v/>
      </c>
      <c r="AE446" s="45" t="n"/>
      <c r="AF446" s="45" t="n"/>
      <c r="AG446" s="42">
        <f>IF(AD446="","",AD446-IF(AE446="",0,AE446)-IF(AF446="",0,AF446))</f>
        <v/>
      </c>
      <c r="AH446" s="26">
        <f>IFERROR(AG446/U446,"")</f>
        <v/>
      </c>
      <c r="AI446" s="29" t="n"/>
      <c r="AJ446" s="29" t="n"/>
      <c r="AK446" s="29" t="n"/>
      <c r="AL446" s="29" t="n"/>
    </row>
    <row r="447">
      <c r="A447" s="20">
        <f>IF(B447="","","TR-"&amp;TEXT(ROW()-2,"0000"))</f>
        <v/>
      </c>
      <c r="B447" s="39" t="n"/>
      <c r="C447" s="40" t="n"/>
      <c r="D447" s="40" t="n"/>
      <c r="E447" s="23" t="n"/>
      <c r="F447" s="23" t="n"/>
      <c r="G447" s="23" t="n"/>
      <c r="H447" s="23" t="n"/>
      <c r="I447" s="23" t="n"/>
      <c r="J447" s="23" t="n"/>
      <c r="K447" s="23" t="n"/>
      <c r="L447" s="41" t="n"/>
      <c r="M447" s="41" t="n"/>
      <c r="N447" s="41" t="n"/>
      <c r="O447" s="41" t="n"/>
      <c r="P447" s="41" t="n"/>
      <c r="Q447" s="41" t="n"/>
      <c r="R447" s="23" t="n"/>
      <c r="S447" s="23" t="n"/>
      <c r="T447" s="42">
        <f>IF(OR(L447="",M447=""),"",IFERROR(Settings!$B$3*Settings!$B$5,0))</f>
        <v/>
      </c>
      <c r="U447" s="42">
        <f>IF(OR(L447="",M447="",R447=""),"",ABS(L447-M447)*R447*IF(S447="",1,S447))</f>
        <v/>
      </c>
      <c r="V447" s="26">
        <f>IFERROR(ABS(N447-L447)/ABS(L447-M447),"")</f>
        <v/>
      </c>
      <c r="W447" s="23" t="n"/>
      <c r="X447" s="23" t="n"/>
      <c r="Y447" s="23" t="n"/>
      <c r="Z447" s="23" t="n"/>
      <c r="AA447" s="23" t="n"/>
      <c r="AB447" s="23" t="n"/>
      <c r="AC447" s="23" t="n"/>
      <c r="AD447" s="42">
        <f>IF(OR(L447="",Q447="",R447=""),"",IF(H447="Long",(Q447-L447)*R447*IF(S447="",1,S447),(L447-Q447)*R447*IF(S447="",1,S447)))</f>
        <v/>
      </c>
      <c r="AE447" s="41" t="n"/>
      <c r="AF447" s="41" t="n"/>
      <c r="AG447" s="42">
        <f>IF(AD447="","",AD447-IF(AE447="",0,AE447)-IF(AF447="",0,AF447))</f>
        <v/>
      </c>
      <c r="AH447" s="26">
        <f>IFERROR(AG447/U447,"")</f>
        <v/>
      </c>
      <c r="AI447" s="23" t="n"/>
      <c r="AJ447" s="23" t="n"/>
      <c r="AK447" s="23" t="n"/>
      <c r="AL447" s="23" t="n"/>
    </row>
    <row r="448">
      <c r="A448" s="20">
        <f>IF(B448="","","TR-"&amp;TEXT(ROW()-2,"0000"))</f>
        <v/>
      </c>
      <c r="B448" s="43" t="n"/>
      <c r="C448" s="44" t="n"/>
      <c r="D448" s="44" t="n"/>
      <c r="E448" s="29" t="n"/>
      <c r="F448" s="29" t="n"/>
      <c r="G448" s="29" t="n"/>
      <c r="H448" s="29" t="n"/>
      <c r="I448" s="29" t="n"/>
      <c r="J448" s="29" t="n"/>
      <c r="K448" s="29" t="n"/>
      <c r="L448" s="45" t="n"/>
      <c r="M448" s="45" t="n"/>
      <c r="N448" s="45" t="n"/>
      <c r="O448" s="45" t="n"/>
      <c r="P448" s="45" t="n"/>
      <c r="Q448" s="45" t="n"/>
      <c r="R448" s="29" t="n"/>
      <c r="S448" s="29" t="n"/>
      <c r="T448" s="42">
        <f>IF(OR(L448="",M448=""),"",IFERROR(Settings!$B$3*Settings!$B$5,0))</f>
        <v/>
      </c>
      <c r="U448" s="42">
        <f>IF(OR(L448="",M448="",R448=""),"",ABS(L448-M448)*R448*IF(S448="",1,S448))</f>
        <v/>
      </c>
      <c r="V448" s="26">
        <f>IFERROR(ABS(N448-L448)/ABS(L448-M448),"")</f>
        <v/>
      </c>
      <c r="W448" s="29" t="n"/>
      <c r="X448" s="29" t="n"/>
      <c r="Y448" s="29" t="n"/>
      <c r="Z448" s="29" t="n"/>
      <c r="AA448" s="29" t="n"/>
      <c r="AB448" s="29" t="n"/>
      <c r="AC448" s="29" t="n"/>
      <c r="AD448" s="42">
        <f>IF(OR(L448="",Q448="",R448=""),"",IF(H448="Long",(Q448-L448)*R448*IF(S448="",1,S448),(L448-Q448)*R448*IF(S448="",1,S448)))</f>
        <v/>
      </c>
      <c r="AE448" s="45" t="n"/>
      <c r="AF448" s="45" t="n"/>
      <c r="AG448" s="42">
        <f>IF(AD448="","",AD448-IF(AE448="",0,AE448)-IF(AF448="",0,AF448))</f>
        <v/>
      </c>
      <c r="AH448" s="26">
        <f>IFERROR(AG448/U448,"")</f>
        <v/>
      </c>
      <c r="AI448" s="29" t="n"/>
      <c r="AJ448" s="29" t="n"/>
      <c r="AK448" s="29" t="n"/>
      <c r="AL448" s="29" t="n"/>
    </row>
    <row r="449">
      <c r="A449" s="20">
        <f>IF(B449="","","TR-"&amp;TEXT(ROW()-2,"0000"))</f>
        <v/>
      </c>
      <c r="B449" s="39" t="n"/>
      <c r="C449" s="40" t="n"/>
      <c r="D449" s="40" t="n"/>
      <c r="E449" s="23" t="n"/>
      <c r="F449" s="23" t="n"/>
      <c r="G449" s="23" t="n"/>
      <c r="H449" s="23" t="n"/>
      <c r="I449" s="23" t="n"/>
      <c r="J449" s="23" t="n"/>
      <c r="K449" s="23" t="n"/>
      <c r="L449" s="41" t="n"/>
      <c r="M449" s="41" t="n"/>
      <c r="N449" s="41" t="n"/>
      <c r="O449" s="41" t="n"/>
      <c r="P449" s="41" t="n"/>
      <c r="Q449" s="41" t="n"/>
      <c r="R449" s="23" t="n"/>
      <c r="S449" s="23" t="n"/>
      <c r="T449" s="42">
        <f>IF(OR(L449="",M449=""),"",IFERROR(Settings!$B$3*Settings!$B$5,0))</f>
        <v/>
      </c>
      <c r="U449" s="42">
        <f>IF(OR(L449="",M449="",R449=""),"",ABS(L449-M449)*R449*IF(S449="",1,S449))</f>
        <v/>
      </c>
      <c r="V449" s="26">
        <f>IFERROR(ABS(N449-L449)/ABS(L449-M449),"")</f>
        <v/>
      </c>
      <c r="W449" s="23" t="n"/>
      <c r="X449" s="23" t="n"/>
      <c r="Y449" s="23" t="n"/>
      <c r="Z449" s="23" t="n"/>
      <c r="AA449" s="23" t="n"/>
      <c r="AB449" s="23" t="n"/>
      <c r="AC449" s="23" t="n"/>
      <c r="AD449" s="42">
        <f>IF(OR(L449="",Q449="",R449=""),"",IF(H449="Long",(Q449-L449)*R449*IF(S449="",1,S449),(L449-Q449)*R449*IF(S449="",1,S449)))</f>
        <v/>
      </c>
      <c r="AE449" s="41" t="n"/>
      <c r="AF449" s="41" t="n"/>
      <c r="AG449" s="42">
        <f>IF(AD449="","",AD449-IF(AE449="",0,AE449)-IF(AF449="",0,AF449))</f>
        <v/>
      </c>
      <c r="AH449" s="26">
        <f>IFERROR(AG449/U449,"")</f>
        <v/>
      </c>
      <c r="AI449" s="23" t="n"/>
      <c r="AJ449" s="23" t="n"/>
      <c r="AK449" s="23" t="n"/>
      <c r="AL449" s="23" t="n"/>
    </row>
    <row r="450">
      <c r="A450" s="20">
        <f>IF(B450="","","TR-"&amp;TEXT(ROW()-2,"0000"))</f>
        <v/>
      </c>
      <c r="B450" s="43" t="n"/>
      <c r="C450" s="44" t="n"/>
      <c r="D450" s="44" t="n"/>
      <c r="E450" s="29" t="n"/>
      <c r="F450" s="29" t="n"/>
      <c r="G450" s="29" t="n"/>
      <c r="H450" s="29" t="n"/>
      <c r="I450" s="29" t="n"/>
      <c r="J450" s="29" t="n"/>
      <c r="K450" s="29" t="n"/>
      <c r="L450" s="45" t="n"/>
      <c r="M450" s="45" t="n"/>
      <c r="N450" s="45" t="n"/>
      <c r="O450" s="45" t="n"/>
      <c r="P450" s="45" t="n"/>
      <c r="Q450" s="45" t="n"/>
      <c r="R450" s="29" t="n"/>
      <c r="S450" s="29" t="n"/>
      <c r="T450" s="42">
        <f>IF(OR(L450="",M450=""),"",IFERROR(Settings!$B$3*Settings!$B$5,0))</f>
        <v/>
      </c>
      <c r="U450" s="42">
        <f>IF(OR(L450="",M450="",R450=""),"",ABS(L450-M450)*R450*IF(S450="",1,S450))</f>
        <v/>
      </c>
      <c r="V450" s="26">
        <f>IFERROR(ABS(N450-L450)/ABS(L450-M450),"")</f>
        <v/>
      </c>
      <c r="W450" s="29" t="n"/>
      <c r="X450" s="29" t="n"/>
      <c r="Y450" s="29" t="n"/>
      <c r="Z450" s="29" t="n"/>
      <c r="AA450" s="29" t="n"/>
      <c r="AB450" s="29" t="n"/>
      <c r="AC450" s="29" t="n"/>
      <c r="AD450" s="42">
        <f>IF(OR(L450="",Q450="",R450=""),"",IF(H450="Long",(Q450-L450)*R450*IF(S450="",1,S450),(L450-Q450)*R450*IF(S450="",1,S450)))</f>
        <v/>
      </c>
      <c r="AE450" s="45" t="n"/>
      <c r="AF450" s="45" t="n"/>
      <c r="AG450" s="42">
        <f>IF(AD450="","",AD450-IF(AE450="",0,AE450)-IF(AF450="",0,AF450))</f>
        <v/>
      </c>
      <c r="AH450" s="26">
        <f>IFERROR(AG450/U450,"")</f>
        <v/>
      </c>
      <c r="AI450" s="29" t="n"/>
      <c r="AJ450" s="29" t="n"/>
      <c r="AK450" s="29" t="n"/>
      <c r="AL450" s="29" t="n"/>
    </row>
    <row r="451">
      <c r="A451" s="20">
        <f>IF(B451="","","TR-"&amp;TEXT(ROW()-2,"0000"))</f>
        <v/>
      </c>
      <c r="B451" s="39" t="n"/>
      <c r="C451" s="40" t="n"/>
      <c r="D451" s="40" t="n"/>
      <c r="E451" s="23" t="n"/>
      <c r="F451" s="23" t="n"/>
      <c r="G451" s="23" t="n"/>
      <c r="H451" s="23" t="n"/>
      <c r="I451" s="23" t="n"/>
      <c r="J451" s="23" t="n"/>
      <c r="K451" s="23" t="n"/>
      <c r="L451" s="41" t="n"/>
      <c r="M451" s="41" t="n"/>
      <c r="N451" s="41" t="n"/>
      <c r="O451" s="41" t="n"/>
      <c r="P451" s="41" t="n"/>
      <c r="Q451" s="41" t="n"/>
      <c r="R451" s="23" t="n"/>
      <c r="S451" s="23" t="n"/>
      <c r="T451" s="42">
        <f>IF(OR(L451="",M451=""),"",IFERROR(Settings!$B$3*Settings!$B$5,0))</f>
        <v/>
      </c>
      <c r="U451" s="42">
        <f>IF(OR(L451="",M451="",R451=""),"",ABS(L451-M451)*R451*IF(S451="",1,S451))</f>
        <v/>
      </c>
      <c r="V451" s="26">
        <f>IFERROR(ABS(N451-L451)/ABS(L451-M451),"")</f>
        <v/>
      </c>
      <c r="W451" s="23" t="n"/>
      <c r="X451" s="23" t="n"/>
      <c r="Y451" s="23" t="n"/>
      <c r="Z451" s="23" t="n"/>
      <c r="AA451" s="23" t="n"/>
      <c r="AB451" s="23" t="n"/>
      <c r="AC451" s="23" t="n"/>
      <c r="AD451" s="42">
        <f>IF(OR(L451="",Q451="",R451=""),"",IF(H451="Long",(Q451-L451)*R451*IF(S451="",1,S451),(L451-Q451)*R451*IF(S451="",1,S451)))</f>
        <v/>
      </c>
      <c r="AE451" s="41" t="n"/>
      <c r="AF451" s="41" t="n"/>
      <c r="AG451" s="42">
        <f>IF(AD451="","",AD451-IF(AE451="",0,AE451)-IF(AF451="",0,AF451))</f>
        <v/>
      </c>
      <c r="AH451" s="26">
        <f>IFERROR(AG451/U451,"")</f>
        <v/>
      </c>
      <c r="AI451" s="23" t="n"/>
      <c r="AJ451" s="23" t="n"/>
      <c r="AK451" s="23" t="n"/>
      <c r="AL451" s="23" t="n"/>
    </row>
    <row r="452">
      <c r="A452" s="20">
        <f>IF(B452="","","TR-"&amp;TEXT(ROW()-2,"0000"))</f>
        <v/>
      </c>
      <c r="B452" s="43" t="n"/>
      <c r="C452" s="44" t="n"/>
      <c r="D452" s="44" t="n"/>
      <c r="E452" s="29" t="n"/>
      <c r="F452" s="29" t="n"/>
      <c r="G452" s="29" t="n"/>
      <c r="H452" s="29" t="n"/>
      <c r="I452" s="29" t="n"/>
      <c r="J452" s="29" t="n"/>
      <c r="K452" s="29" t="n"/>
      <c r="L452" s="45" t="n"/>
      <c r="M452" s="45" t="n"/>
      <c r="N452" s="45" t="n"/>
      <c r="O452" s="45" t="n"/>
      <c r="P452" s="45" t="n"/>
      <c r="Q452" s="45" t="n"/>
      <c r="R452" s="29" t="n"/>
      <c r="S452" s="29" t="n"/>
      <c r="T452" s="42">
        <f>IF(OR(L452="",M452=""),"",IFERROR(Settings!$B$3*Settings!$B$5,0))</f>
        <v/>
      </c>
      <c r="U452" s="42">
        <f>IF(OR(L452="",M452="",R452=""),"",ABS(L452-M452)*R452*IF(S452="",1,S452))</f>
        <v/>
      </c>
      <c r="V452" s="26">
        <f>IFERROR(ABS(N452-L452)/ABS(L452-M452),"")</f>
        <v/>
      </c>
      <c r="W452" s="29" t="n"/>
      <c r="X452" s="29" t="n"/>
      <c r="Y452" s="29" t="n"/>
      <c r="Z452" s="29" t="n"/>
      <c r="AA452" s="29" t="n"/>
      <c r="AB452" s="29" t="n"/>
      <c r="AC452" s="29" t="n"/>
      <c r="AD452" s="42">
        <f>IF(OR(L452="",Q452="",R452=""),"",IF(H452="Long",(Q452-L452)*R452*IF(S452="",1,S452),(L452-Q452)*R452*IF(S452="",1,S452)))</f>
        <v/>
      </c>
      <c r="AE452" s="45" t="n"/>
      <c r="AF452" s="45" t="n"/>
      <c r="AG452" s="42">
        <f>IF(AD452="","",AD452-IF(AE452="",0,AE452)-IF(AF452="",0,AF452))</f>
        <v/>
      </c>
      <c r="AH452" s="26">
        <f>IFERROR(AG452/U452,"")</f>
        <v/>
      </c>
      <c r="AI452" s="29" t="n"/>
      <c r="AJ452" s="29" t="n"/>
      <c r="AK452" s="29" t="n"/>
      <c r="AL452" s="29" t="n"/>
    </row>
    <row r="453">
      <c r="A453" s="20">
        <f>IF(B453="","","TR-"&amp;TEXT(ROW()-2,"0000"))</f>
        <v/>
      </c>
      <c r="B453" s="39" t="n"/>
      <c r="C453" s="40" t="n"/>
      <c r="D453" s="40" t="n"/>
      <c r="E453" s="23" t="n"/>
      <c r="F453" s="23" t="n"/>
      <c r="G453" s="23" t="n"/>
      <c r="H453" s="23" t="n"/>
      <c r="I453" s="23" t="n"/>
      <c r="J453" s="23" t="n"/>
      <c r="K453" s="23" t="n"/>
      <c r="L453" s="41" t="n"/>
      <c r="M453" s="41" t="n"/>
      <c r="N453" s="41" t="n"/>
      <c r="O453" s="41" t="n"/>
      <c r="P453" s="41" t="n"/>
      <c r="Q453" s="41" t="n"/>
      <c r="R453" s="23" t="n"/>
      <c r="S453" s="23" t="n"/>
      <c r="T453" s="42">
        <f>IF(OR(L453="",M453=""),"",IFERROR(Settings!$B$3*Settings!$B$5,0))</f>
        <v/>
      </c>
      <c r="U453" s="42">
        <f>IF(OR(L453="",M453="",R453=""),"",ABS(L453-M453)*R453*IF(S453="",1,S453))</f>
        <v/>
      </c>
      <c r="V453" s="26">
        <f>IFERROR(ABS(N453-L453)/ABS(L453-M453),"")</f>
        <v/>
      </c>
      <c r="W453" s="23" t="n"/>
      <c r="X453" s="23" t="n"/>
      <c r="Y453" s="23" t="n"/>
      <c r="Z453" s="23" t="n"/>
      <c r="AA453" s="23" t="n"/>
      <c r="AB453" s="23" t="n"/>
      <c r="AC453" s="23" t="n"/>
      <c r="AD453" s="42">
        <f>IF(OR(L453="",Q453="",R453=""),"",IF(H453="Long",(Q453-L453)*R453*IF(S453="",1,S453),(L453-Q453)*R453*IF(S453="",1,S453)))</f>
        <v/>
      </c>
      <c r="AE453" s="41" t="n"/>
      <c r="AF453" s="41" t="n"/>
      <c r="AG453" s="42">
        <f>IF(AD453="","",AD453-IF(AE453="",0,AE453)-IF(AF453="",0,AF453))</f>
        <v/>
      </c>
      <c r="AH453" s="26">
        <f>IFERROR(AG453/U453,"")</f>
        <v/>
      </c>
      <c r="AI453" s="23" t="n"/>
      <c r="AJ453" s="23" t="n"/>
      <c r="AK453" s="23" t="n"/>
      <c r="AL453" s="23" t="n"/>
    </row>
    <row r="454">
      <c r="A454" s="20">
        <f>IF(B454="","","TR-"&amp;TEXT(ROW()-2,"0000"))</f>
        <v/>
      </c>
      <c r="B454" s="43" t="n"/>
      <c r="C454" s="44" t="n"/>
      <c r="D454" s="44" t="n"/>
      <c r="E454" s="29" t="n"/>
      <c r="F454" s="29" t="n"/>
      <c r="G454" s="29" t="n"/>
      <c r="H454" s="29" t="n"/>
      <c r="I454" s="29" t="n"/>
      <c r="J454" s="29" t="n"/>
      <c r="K454" s="29" t="n"/>
      <c r="L454" s="45" t="n"/>
      <c r="M454" s="45" t="n"/>
      <c r="N454" s="45" t="n"/>
      <c r="O454" s="45" t="n"/>
      <c r="P454" s="45" t="n"/>
      <c r="Q454" s="45" t="n"/>
      <c r="R454" s="29" t="n"/>
      <c r="S454" s="29" t="n"/>
      <c r="T454" s="42">
        <f>IF(OR(L454="",M454=""),"",IFERROR(Settings!$B$3*Settings!$B$5,0))</f>
        <v/>
      </c>
      <c r="U454" s="42">
        <f>IF(OR(L454="",M454="",R454=""),"",ABS(L454-M454)*R454*IF(S454="",1,S454))</f>
        <v/>
      </c>
      <c r="V454" s="26">
        <f>IFERROR(ABS(N454-L454)/ABS(L454-M454),"")</f>
        <v/>
      </c>
      <c r="W454" s="29" t="n"/>
      <c r="X454" s="29" t="n"/>
      <c r="Y454" s="29" t="n"/>
      <c r="Z454" s="29" t="n"/>
      <c r="AA454" s="29" t="n"/>
      <c r="AB454" s="29" t="n"/>
      <c r="AC454" s="29" t="n"/>
      <c r="AD454" s="42">
        <f>IF(OR(L454="",Q454="",R454=""),"",IF(H454="Long",(Q454-L454)*R454*IF(S454="",1,S454),(L454-Q454)*R454*IF(S454="",1,S454)))</f>
        <v/>
      </c>
      <c r="AE454" s="45" t="n"/>
      <c r="AF454" s="45" t="n"/>
      <c r="AG454" s="42">
        <f>IF(AD454="","",AD454-IF(AE454="",0,AE454)-IF(AF454="",0,AF454))</f>
        <v/>
      </c>
      <c r="AH454" s="26">
        <f>IFERROR(AG454/U454,"")</f>
        <v/>
      </c>
      <c r="AI454" s="29" t="n"/>
      <c r="AJ454" s="29" t="n"/>
      <c r="AK454" s="29" t="n"/>
      <c r="AL454" s="29" t="n"/>
    </row>
    <row r="455">
      <c r="A455" s="20">
        <f>IF(B455="","","TR-"&amp;TEXT(ROW()-2,"0000"))</f>
        <v/>
      </c>
      <c r="B455" s="39" t="n"/>
      <c r="C455" s="40" t="n"/>
      <c r="D455" s="40" t="n"/>
      <c r="E455" s="23" t="n"/>
      <c r="F455" s="23" t="n"/>
      <c r="G455" s="23" t="n"/>
      <c r="H455" s="23" t="n"/>
      <c r="I455" s="23" t="n"/>
      <c r="J455" s="23" t="n"/>
      <c r="K455" s="23" t="n"/>
      <c r="L455" s="41" t="n"/>
      <c r="M455" s="41" t="n"/>
      <c r="N455" s="41" t="n"/>
      <c r="O455" s="41" t="n"/>
      <c r="P455" s="41" t="n"/>
      <c r="Q455" s="41" t="n"/>
      <c r="R455" s="23" t="n"/>
      <c r="S455" s="23" t="n"/>
      <c r="T455" s="42">
        <f>IF(OR(L455="",M455=""),"",IFERROR(Settings!$B$3*Settings!$B$5,0))</f>
        <v/>
      </c>
      <c r="U455" s="42">
        <f>IF(OR(L455="",M455="",R455=""),"",ABS(L455-M455)*R455*IF(S455="",1,S455))</f>
        <v/>
      </c>
      <c r="V455" s="26">
        <f>IFERROR(ABS(N455-L455)/ABS(L455-M455),"")</f>
        <v/>
      </c>
      <c r="W455" s="23" t="n"/>
      <c r="X455" s="23" t="n"/>
      <c r="Y455" s="23" t="n"/>
      <c r="Z455" s="23" t="n"/>
      <c r="AA455" s="23" t="n"/>
      <c r="AB455" s="23" t="n"/>
      <c r="AC455" s="23" t="n"/>
      <c r="AD455" s="42">
        <f>IF(OR(L455="",Q455="",R455=""),"",IF(H455="Long",(Q455-L455)*R455*IF(S455="",1,S455),(L455-Q455)*R455*IF(S455="",1,S455)))</f>
        <v/>
      </c>
      <c r="AE455" s="41" t="n"/>
      <c r="AF455" s="41" t="n"/>
      <c r="AG455" s="42">
        <f>IF(AD455="","",AD455-IF(AE455="",0,AE455)-IF(AF455="",0,AF455))</f>
        <v/>
      </c>
      <c r="AH455" s="26">
        <f>IFERROR(AG455/U455,"")</f>
        <v/>
      </c>
      <c r="AI455" s="23" t="n"/>
      <c r="AJ455" s="23" t="n"/>
      <c r="AK455" s="23" t="n"/>
      <c r="AL455" s="23" t="n"/>
    </row>
    <row r="456">
      <c r="A456" s="20">
        <f>IF(B456="","","TR-"&amp;TEXT(ROW()-2,"0000"))</f>
        <v/>
      </c>
      <c r="B456" s="43" t="n"/>
      <c r="C456" s="44" t="n"/>
      <c r="D456" s="44" t="n"/>
      <c r="E456" s="29" t="n"/>
      <c r="F456" s="29" t="n"/>
      <c r="G456" s="29" t="n"/>
      <c r="H456" s="29" t="n"/>
      <c r="I456" s="29" t="n"/>
      <c r="J456" s="29" t="n"/>
      <c r="K456" s="29" t="n"/>
      <c r="L456" s="45" t="n"/>
      <c r="M456" s="45" t="n"/>
      <c r="N456" s="45" t="n"/>
      <c r="O456" s="45" t="n"/>
      <c r="P456" s="45" t="n"/>
      <c r="Q456" s="45" t="n"/>
      <c r="R456" s="29" t="n"/>
      <c r="S456" s="29" t="n"/>
      <c r="T456" s="42">
        <f>IF(OR(L456="",M456=""),"",IFERROR(Settings!$B$3*Settings!$B$5,0))</f>
        <v/>
      </c>
      <c r="U456" s="42">
        <f>IF(OR(L456="",M456="",R456=""),"",ABS(L456-M456)*R456*IF(S456="",1,S456))</f>
        <v/>
      </c>
      <c r="V456" s="26">
        <f>IFERROR(ABS(N456-L456)/ABS(L456-M456),"")</f>
        <v/>
      </c>
      <c r="W456" s="29" t="n"/>
      <c r="X456" s="29" t="n"/>
      <c r="Y456" s="29" t="n"/>
      <c r="Z456" s="29" t="n"/>
      <c r="AA456" s="29" t="n"/>
      <c r="AB456" s="29" t="n"/>
      <c r="AC456" s="29" t="n"/>
      <c r="AD456" s="42">
        <f>IF(OR(L456="",Q456="",R456=""),"",IF(H456="Long",(Q456-L456)*R456*IF(S456="",1,S456),(L456-Q456)*R456*IF(S456="",1,S456)))</f>
        <v/>
      </c>
      <c r="AE456" s="45" t="n"/>
      <c r="AF456" s="45" t="n"/>
      <c r="AG456" s="42">
        <f>IF(AD456="","",AD456-IF(AE456="",0,AE456)-IF(AF456="",0,AF456))</f>
        <v/>
      </c>
      <c r="AH456" s="26">
        <f>IFERROR(AG456/U456,"")</f>
        <v/>
      </c>
      <c r="AI456" s="29" t="n"/>
      <c r="AJ456" s="29" t="n"/>
      <c r="AK456" s="29" t="n"/>
      <c r="AL456" s="29" t="n"/>
    </row>
    <row r="457">
      <c r="A457" s="20">
        <f>IF(B457="","","TR-"&amp;TEXT(ROW()-2,"0000"))</f>
        <v/>
      </c>
      <c r="B457" s="39" t="n"/>
      <c r="C457" s="40" t="n"/>
      <c r="D457" s="40" t="n"/>
      <c r="E457" s="23" t="n"/>
      <c r="F457" s="23" t="n"/>
      <c r="G457" s="23" t="n"/>
      <c r="H457" s="23" t="n"/>
      <c r="I457" s="23" t="n"/>
      <c r="J457" s="23" t="n"/>
      <c r="K457" s="23" t="n"/>
      <c r="L457" s="41" t="n"/>
      <c r="M457" s="41" t="n"/>
      <c r="N457" s="41" t="n"/>
      <c r="O457" s="41" t="n"/>
      <c r="P457" s="41" t="n"/>
      <c r="Q457" s="41" t="n"/>
      <c r="R457" s="23" t="n"/>
      <c r="S457" s="23" t="n"/>
      <c r="T457" s="42">
        <f>IF(OR(L457="",M457=""),"",IFERROR(Settings!$B$3*Settings!$B$5,0))</f>
        <v/>
      </c>
      <c r="U457" s="42">
        <f>IF(OR(L457="",M457="",R457=""),"",ABS(L457-M457)*R457*IF(S457="",1,S457))</f>
        <v/>
      </c>
      <c r="V457" s="26">
        <f>IFERROR(ABS(N457-L457)/ABS(L457-M457),"")</f>
        <v/>
      </c>
      <c r="W457" s="23" t="n"/>
      <c r="X457" s="23" t="n"/>
      <c r="Y457" s="23" t="n"/>
      <c r="Z457" s="23" t="n"/>
      <c r="AA457" s="23" t="n"/>
      <c r="AB457" s="23" t="n"/>
      <c r="AC457" s="23" t="n"/>
      <c r="AD457" s="42">
        <f>IF(OR(L457="",Q457="",R457=""),"",IF(H457="Long",(Q457-L457)*R457*IF(S457="",1,S457),(L457-Q457)*R457*IF(S457="",1,S457)))</f>
        <v/>
      </c>
      <c r="AE457" s="41" t="n"/>
      <c r="AF457" s="41" t="n"/>
      <c r="AG457" s="42">
        <f>IF(AD457="","",AD457-IF(AE457="",0,AE457)-IF(AF457="",0,AF457))</f>
        <v/>
      </c>
      <c r="AH457" s="26">
        <f>IFERROR(AG457/U457,"")</f>
        <v/>
      </c>
      <c r="AI457" s="23" t="n"/>
      <c r="AJ457" s="23" t="n"/>
      <c r="AK457" s="23" t="n"/>
      <c r="AL457" s="23" t="n"/>
    </row>
    <row r="458">
      <c r="A458" s="20">
        <f>IF(B458="","","TR-"&amp;TEXT(ROW()-2,"0000"))</f>
        <v/>
      </c>
      <c r="B458" s="43" t="n"/>
      <c r="C458" s="44" t="n"/>
      <c r="D458" s="44" t="n"/>
      <c r="E458" s="29" t="n"/>
      <c r="F458" s="29" t="n"/>
      <c r="G458" s="29" t="n"/>
      <c r="H458" s="29" t="n"/>
      <c r="I458" s="29" t="n"/>
      <c r="J458" s="29" t="n"/>
      <c r="K458" s="29" t="n"/>
      <c r="L458" s="45" t="n"/>
      <c r="M458" s="45" t="n"/>
      <c r="N458" s="45" t="n"/>
      <c r="O458" s="45" t="n"/>
      <c r="P458" s="45" t="n"/>
      <c r="Q458" s="45" t="n"/>
      <c r="R458" s="29" t="n"/>
      <c r="S458" s="29" t="n"/>
      <c r="T458" s="42">
        <f>IF(OR(L458="",M458=""),"",IFERROR(Settings!$B$3*Settings!$B$5,0))</f>
        <v/>
      </c>
      <c r="U458" s="42">
        <f>IF(OR(L458="",M458="",R458=""),"",ABS(L458-M458)*R458*IF(S458="",1,S458))</f>
        <v/>
      </c>
      <c r="V458" s="26">
        <f>IFERROR(ABS(N458-L458)/ABS(L458-M458),"")</f>
        <v/>
      </c>
      <c r="W458" s="29" t="n"/>
      <c r="X458" s="29" t="n"/>
      <c r="Y458" s="29" t="n"/>
      <c r="Z458" s="29" t="n"/>
      <c r="AA458" s="29" t="n"/>
      <c r="AB458" s="29" t="n"/>
      <c r="AC458" s="29" t="n"/>
      <c r="AD458" s="42">
        <f>IF(OR(L458="",Q458="",R458=""),"",IF(H458="Long",(Q458-L458)*R458*IF(S458="",1,S458),(L458-Q458)*R458*IF(S458="",1,S458)))</f>
        <v/>
      </c>
      <c r="AE458" s="45" t="n"/>
      <c r="AF458" s="45" t="n"/>
      <c r="AG458" s="42">
        <f>IF(AD458="","",AD458-IF(AE458="",0,AE458)-IF(AF458="",0,AF458))</f>
        <v/>
      </c>
      <c r="AH458" s="26">
        <f>IFERROR(AG458/U458,"")</f>
        <v/>
      </c>
      <c r="AI458" s="29" t="n"/>
      <c r="AJ458" s="29" t="n"/>
      <c r="AK458" s="29" t="n"/>
      <c r="AL458" s="29" t="n"/>
    </row>
    <row r="459">
      <c r="A459" s="20">
        <f>IF(B459="","","TR-"&amp;TEXT(ROW()-2,"0000"))</f>
        <v/>
      </c>
      <c r="B459" s="39" t="n"/>
      <c r="C459" s="40" t="n"/>
      <c r="D459" s="40" t="n"/>
      <c r="E459" s="23" t="n"/>
      <c r="F459" s="23" t="n"/>
      <c r="G459" s="23" t="n"/>
      <c r="H459" s="23" t="n"/>
      <c r="I459" s="23" t="n"/>
      <c r="J459" s="23" t="n"/>
      <c r="K459" s="23" t="n"/>
      <c r="L459" s="41" t="n"/>
      <c r="M459" s="41" t="n"/>
      <c r="N459" s="41" t="n"/>
      <c r="O459" s="41" t="n"/>
      <c r="P459" s="41" t="n"/>
      <c r="Q459" s="41" t="n"/>
      <c r="R459" s="23" t="n"/>
      <c r="S459" s="23" t="n"/>
      <c r="T459" s="42">
        <f>IF(OR(L459="",M459=""),"",IFERROR(Settings!$B$3*Settings!$B$5,0))</f>
        <v/>
      </c>
      <c r="U459" s="42">
        <f>IF(OR(L459="",M459="",R459=""),"",ABS(L459-M459)*R459*IF(S459="",1,S459))</f>
        <v/>
      </c>
      <c r="V459" s="26">
        <f>IFERROR(ABS(N459-L459)/ABS(L459-M459),"")</f>
        <v/>
      </c>
      <c r="W459" s="23" t="n"/>
      <c r="X459" s="23" t="n"/>
      <c r="Y459" s="23" t="n"/>
      <c r="Z459" s="23" t="n"/>
      <c r="AA459" s="23" t="n"/>
      <c r="AB459" s="23" t="n"/>
      <c r="AC459" s="23" t="n"/>
      <c r="AD459" s="42">
        <f>IF(OR(L459="",Q459="",R459=""),"",IF(H459="Long",(Q459-L459)*R459*IF(S459="",1,S459),(L459-Q459)*R459*IF(S459="",1,S459)))</f>
        <v/>
      </c>
      <c r="AE459" s="41" t="n"/>
      <c r="AF459" s="41" t="n"/>
      <c r="AG459" s="42">
        <f>IF(AD459="","",AD459-IF(AE459="",0,AE459)-IF(AF459="",0,AF459))</f>
        <v/>
      </c>
      <c r="AH459" s="26">
        <f>IFERROR(AG459/U459,"")</f>
        <v/>
      </c>
      <c r="AI459" s="23" t="n"/>
      <c r="AJ459" s="23" t="n"/>
      <c r="AK459" s="23" t="n"/>
      <c r="AL459" s="23" t="n"/>
    </row>
    <row r="460">
      <c r="A460" s="20">
        <f>IF(B460="","","TR-"&amp;TEXT(ROW()-2,"0000"))</f>
        <v/>
      </c>
      <c r="B460" s="43" t="n"/>
      <c r="C460" s="44" t="n"/>
      <c r="D460" s="44" t="n"/>
      <c r="E460" s="29" t="n"/>
      <c r="F460" s="29" t="n"/>
      <c r="G460" s="29" t="n"/>
      <c r="H460" s="29" t="n"/>
      <c r="I460" s="29" t="n"/>
      <c r="J460" s="29" t="n"/>
      <c r="K460" s="29" t="n"/>
      <c r="L460" s="45" t="n"/>
      <c r="M460" s="45" t="n"/>
      <c r="N460" s="45" t="n"/>
      <c r="O460" s="45" t="n"/>
      <c r="P460" s="45" t="n"/>
      <c r="Q460" s="45" t="n"/>
      <c r="R460" s="29" t="n"/>
      <c r="S460" s="29" t="n"/>
      <c r="T460" s="42">
        <f>IF(OR(L460="",M460=""),"",IFERROR(Settings!$B$3*Settings!$B$5,0))</f>
        <v/>
      </c>
      <c r="U460" s="42">
        <f>IF(OR(L460="",M460="",R460=""),"",ABS(L460-M460)*R460*IF(S460="",1,S460))</f>
        <v/>
      </c>
      <c r="V460" s="26">
        <f>IFERROR(ABS(N460-L460)/ABS(L460-M460),"")</f>
        <v/>
      </c>
      <c r="W460" s="29" t="n"/>
      <c r="X460" s="29" t="n"/>
      <c r="Y460" s="29" t="n"/>
      <c r="Z460" s="29" t="n"/>
      <c r="AA460" s="29" t="n"/>
      <c r="AB460" s="29" t="n"/>
      <c r="AC460" s="29" t="n"/>
      <c r="AD460" s="42">
        <f>IF(OR(L460="",Q460="",R460=""),"",IF(H460="Long",(Q460-L460)*R460*IF(S460="",1,S460),(L460-Q460)*R460*IF(S460="",1,S460)))</f>
        <v/>
      </c>
      <c r="AE460" s="45" t="n"/>
      <c r="AF460" s="45" t="n"/>
      <c r="AG460" s="42">
        <f>IF(AD460="","",AD460-IF(AE460="",0,AE460)-IF(AF460="",0,AF460))</f>
        <v/>
      </c>
      <c r="AH460" s="26">
        <f>IFERROR(AG460/U460,"")</f>
        <v/>
      </c>
      <c r="AI460" s="29" t="n"/>
      <c r="AJ460" s="29" t="n"/>
      <c r="AK460" s="29" t="n"/>
      <c r="AL460" s="29" t="n"/>
    </row>
    <row r="461">
      <c r="A461" s="20">
        <f>IF(B461="","","TR-"&amp;TEXT(ROW()-2,"0000"))</f>
        <v/>
      </c>
      <c r="B461" s="39" t="n"/>
      <c r="C461" s="40" t="n"/>
      <c r="D461" s="40" t="n"/>
      <c r="E461" s="23" t="n"/>
      <c r="F461" s="23" t="n"/>
      <c r="G461" s="23" t="n"/>
      <c r="H461" s="23" t="n"/>
      <c r="I461" s="23" t="n"/>
      <c r="J461" s="23" t="n"/>
      <c r="K461" s="23" t="n"/>
      <c r="L461" s="41" t="n"/>
      <c r="M461" s="41" t="n"/>
      <c r="N461" s="41" t="n"/>
      <c r="O461" s="41" t="n"/>
      <c r="P461" s="41" t="n"/>
      <c r="Q461" s="41" t="n"/>
      <c r="R461" s="23" t="n"/>
      <c r="S461" s="23" t="n"/>
      <c r="T461" s="42">
        <f>IF(OR(L461="",M461=""),"",IFERROR(Settings!$B$3*Settings!$B$5,0))</f>
        <v/>
      </c>
      <c r="U461" s="42">
        <f>IF(OR(L461="",M461="",R461=""),"",ABS(L461-M461)*R461*IF(S461="",1,S461))</f>
        <v/>
      </c>
      <c r="V461" s="26">
        <f>IFERROR(ABS(N461-L461)/ABS(L461-M461),"")</f>
        <v/>
      </c>
      <c r="W461" s="23" t="n"/>
      <c r="X461" s="23" t="n"/>
      <c r="Y461" s="23" t="n"/>
      <c r="Z461" s="23" t="n"/>
      <c r="AA461" s="23" t="n"/>
      <c r="AB461" s="23" t="n"/>
      <c r="AC461" s="23" t="n"/>
      <c r="AD461" s="42">
        <f>IF(OR(L461="",Q461="",R461=""),"",IF(H461="Long",(Q461-L461)*R461*IF(S461="",1,S461),(L461-Q461)*R461*IF(S461="",1,S461)))</f>
        <v/>
      </c>
      <c r="AE461" s="41" t="n"/>
      <c r="AF461" s="41" t="n"/>
      <c r="AG461" s="42">
        <f>IF(AD461="","",AD461-IF(AE461="",0,AE461)-IF(AF461="",0,AF461))</f>
        <v/>
      </c>
      <c r="AH461" s="26">
        <f>IFERROR(AG461/U461,"")</f>
        <v/>
      </c>
      <c r="AI461" s="23" t="n"/>
      <c r="AJ461" s="23" t="n"/>
      <c r="AK461" s="23" t="n"/>
      <c r="AL461" s="23" t="n"/>
    </row>
    <row r="462">
      <c r="A462" s="20">
        <f>IF(B462="","","TR-"&amp;TEXT(ROW()-2,"0000"))</f>
        <v/>
      </c>
      <c r="B462" s="43" t="n"/>
      <c r="C462" s="44" t="n"/>
      <c r="D462" s="44" t="n"/>
      <c r="E462" s="29" t="n"/>
      <c r="F462" s="29" t="n"/>
      <c r="G462" s="29" t="n"/>
      <c r="H462" s="29" t="n"/>
      <c r="I462" s="29" t="n"/>
      <c r="J462" s="29" t="n"/>
      <c r="K462" s="29" t="n"/>
      <c r="L462" s="45" t="n"/>
      <c r="M462" s="45" t="n"/>
      <c r="N462" s="45" t="n"/>
      <c r="O462" s="45" t="n"/>
      <c r="P462" s="45" t="n"/>
      <c r="Q462" s="45" t="n"/>
      <c r="R462" s="29" t="n"/>
      <c r="S462" s="29" t="n"/>
      <c r="T462" s="42">
        <f>IF(OR(L462="",M462=""),"",IFERROR(Settings!$B$3*Settings!$B$5,0))</f>
        <v/>
      </c>
      <c r="U462" s="42">
        <f>IF(OR(L462="",M462="",R462=""),"",ABS(L462-M462)*R462*IF(S462="",1,S462))</f>
        <v/>
      </c>
      <c r="V462" s="26">
        <f>IFERROR(ABS(N462-L462)/ABS(L462-M462),"")</f>
        <v/>
      </c>
      <c r="W462" s="29" t="n"/>
      <c r="X462" s="29" t="n"/>
      <c r="Y462" s="29" t="n"/>
      <c r="Z462" s="29" t="n"/>
      <c r="AA462" s="29" t="n"/>
      <c r="AB462" s="29" t="n"/>
      <c r="AC462" s="29" t="n"/>
      <c r="AD462" s="42">
        <f>IF(OR(L462="",Q462="",R462=""),"",IF(H462="Long",(Q462-L462)*R462*IF(S462="",1,S462),(L462-Q462)*R462*IF(S462="",1,S462)))</f>
        <v/>
      </c>
      <c r="AE462" s="45" t="n"/>
      <c r="AF462" s="45" t="n"/>
      <c r="AG462" s="42">
        <f>IF(AD462="","",AD462-IF(AE462="",0,AE462)-IF(AF462="",0,AF462))</f>
        <v/>
      </c>
      <c r="AH462" s="26">
        <f>IFERROR(AG462/U462,"")</f>
        <v/>
      </c>
      <c r="AI462" s="29" t="n"/>
      <c r="AJ462" s="29" t="n"/>
      <c r="AK462" s="29" t="n"/>
      <c r="AL462" s="29" t="n"/>
    </row>
    <row r="463">
      <c r="A463" s="20">
        <f>IF(B463="","","TR-"&amp;TEXT(ROW()-2,"0000"))</f>
        <v/>
      </c>
      <c r="B463" s="39" t="n"/>
      <c r="C463" s="40" t="n"/>
      <c r="D463" s="40" t="n"/>
      <c r="E463" s="23" t="n"/>
      <c r="F463" s="23" t="n"/>
      <c r="G463" s="23" t="n"/>
      <c r="H463" s="23" t="n"/>
      <c r="I463" s="23" t="n"/>
      <c r="J463" s="23" t="n"/>
      <c r="K463" s="23" t="n"/>
      <c r="L463" s="41" t="n"/>
      <c r="M463" s="41" t="n"/>
      <c r="N463" s="41" t="n"/>
      <c r="O463" s="41" t="n"/>
      <c r="P463" s="41" t="n"/>
      <c r="Q463" s="41" t="n"/>
      <c r="R463" s="23" t="n"/>
      <c r="S463" s="23" t="n"/>
      <c r="T463" s="42">
        <f>IF(OR(L463="",M463=""),"",IFERROR(Settings!$B$3*Settings!$B$5,0))</f>
        <v/>
      </c>
      <c r="U463" s="42">
        <f>IF(OR(L463="",M463="",R463=""),"",ABS(L463-M463)*R463*IF(S463="",1,S463))</f>
        <v/>
      </c>
      <c r="V463" s="26">
        <f>IFERROR(ABS(N463-L463)/ABS(L463-M463),"")</f>
        <v/>
      </c>
      <c r="W463" s="23" t="n"/>
      <c r="X463" s="23" t="n"/>
      <c r="Y463" s="23" t="n"/>
      <c r="Z463" s="23" t="n"/>
      <c r="AA463" s="23" t="n"/>
      <c r="AB463" s="23" t="n"/>
      <c r="AC463" s="23" t="n"/>
      <c r="AD463" s="42">
        <f>IF(OR(L463="",Q463="",R463=""),"",IF(H463="Long",(Q463-L463)*R463*IF(S463="",1,S463),(L463-Q463)*R463*IF(S463="",1,S463)))</f>
        <v/>
      </c>
      <c r="AE463" s="41" t="n"/>
      <c r="AF463" s="41" t="n"/>
      <c r="AG463" s="42">
        <f>IF(AD463="","",AD463-IF(AE463="",0,AE463)-IF(AF463="",0,AF463))</f>
        <v/>
      </c>
      <c r="AH463" s="26">
        <f>IFERROR(AG463/U463,"")</f>
        <v/>
      </c>
      <c r="AI463" s="23" t="n"/>
      <c r="AJ463" s="23" t="n"/>
      <c r="AK463" s="23" t="n"/>
      <c r="AL463" s="23" t="n"/>
    </row>
    <row r="464">
      <c r="A464" s="20">
        <f>IF(B464="","","TR-"&amp;TEXT(ROW()-2,"0000"))</f>
        <v/>
      </c>
      <c r="B464" s="43" t="n"/>
      <c r="C464" s="44" t="n"/>
      <c r="D464" s="44" t="n"/>
      <c r="E464" s="29" t="n"/>
      <c r="F464" s="29" t="n"/>
      <c r="G464" s="29" t="n"/>
      <c r="H464" s="29" t="n"/>
      <c r="I464" s="29" t="n"/>
      <c r="J464" s="29" t="n"/>
      <c r="K464" s="29" t="n"/>
      <c r="L464" s="45" t="n"/>
      <c r="M464" s="45" t="n"/>
      <c r="N464" s="45" t="n"/>
      <c r="O464" s="45" t="n"/>
      <c r="P464" s="45" t="n"/>
      <c r="Q464" s="45" t="n"/>
      <c r="R464" s="29" t="n"/>
      <c r="S464" s="29" t="n"/>
      <c r="T464" s="42">
        <f>IF(OR(L464="",M464=""),"",IFERROR(Settings!$B$3*Settings!$B$5,0))</f>
        <v/>
      </c>
      <c r="U464" s="42">
        <f>IF(OR(L464="",M464="",R464=""),"",ABS(L464-M464)*R464*IF(S464="",1,S464))</f>
        <v/>
      </c>
      <c r="V464" s="26">
        <f>IFERROR(ABS(N464-L464)/ABS(L464-M464),"")</f>
        <v/>
      </c>
      <c r="W464" s="29" t="n"/>
      <c r="X464" s="29" t="n"/>
      <c r="Y464" s="29" t="n"/>
      <c r="Z464" s="29" t="n"/>
      <c r="AA464" s="29" t="n"/>
      <c r="AB464" s="29" t="n"/>
      <c r="AC464" s="29" t="n"/>
      <c r="AD464" s="42">
        <f>IF(OR(L464="",Q464="",R464=""),"",IF(H464="Long",(Q464-L464)*R464*IF(S464="",1,S464),(L464-Q464)*R464*IF(S464="",1,S464)))</f>
        <v/>
      </c>
      <c r="AE464" s="45" t="n"/>
      <c r="AF464" s="45" t="n"/>
      <c r="AG464" s="42">
        <f>IF(AD464="","",AD464-IF(AE464="",0,AE464)-IF(AF464="",0,AF464))</f>
        <v/>
      </c>
      <c r="AH464" s="26">
        <f>IFERROR(AG464/U464,"")</f>
        <v/>
      </c>
      <c r="AI464" s="29" t="n"/>
      <c r="AJ464" s="29" t="n"/>
      <c r="AK464" s="29" t="n"/>
      <c r="AL464" s="29" t="n"/>
    </row>
    <row r="465">
      <c r="A465" s="20">
        <f>IF(B465="","","TR-"&amp;TEXT(ROW()-2,"0000"))</f>
        <v/>
      </c>
      <c r="B465" s="39" t="n"/>
      <c r="C465" s="40" t="n"/>
      <c r="D465" s="40" t="n"/>
      <c r="E465" s="23" t="n"/>
      <c r="F465" s="23" t="n"/>
      <c r="G465" s="23" t="n"/>
      <c r="H465" s="23" t="n"/>
      <c r="I465" s="23" t="n"/>
      <c r="J465" s="23" t="n"/>
      <c r="K465" s="23" t="n"/>
      <c r="L465" s="41" t="n"/>
      <c r="M465" s="41" t="n"/>
      <c r="N465" s="41" t="n"/>
      <c r="O465" s="41" t="n"/>
      <c r="P465" s="41" t="n"/>
      <c r="Q465" s="41" t="n"/>
      <c r="R465" s="23" t="n"/>
      <c r="S465" s="23" t="n"/>
      <c r="T465" s="42">
        <f>IF(OR(L465="",M465=""),"",IFERROR(Settings!$B$3*Settings!$B$5,0))</f>
        <v/>
      </c>
      <c r="U465" s="42">
        <f>IF(OR(L465="",M465="",R465=""),"",ABS(L465-M465)*R465*IF(S465="",1,S465))</f>
        <v/>
      </c>
      <c r="V465" s="26">
        <f>IFERROR(ABS(N465-L465)/ABS(L465-M465),"")</f>
        <v/>
      </c>
      <c r="W465" s="23" t="n"/>
      <c r="X465" s="23" t="n"/>
      <c r="Y465" s="23" t="n"/>
      <c r="Z465" s="23" t="n"/>
      <c r="AA465" s="23" t="n"/>
      <c r="AB465" s="23" t="n"/>
      <c r="AC465" s="23" t="n"/>
      <c r="AD465" s="42">
        <f>IF(OR(L465="",Q465="",R465=""),"",IF(H465="Long",(Q465-L465)*R465*IF(S465="",1,S465),(L465-Q465)*R465*IF(S465="",1,S465)))</f>
        <v/>
      </c>
      <c r="AE465" s="41" t="n"/>
      <c r="AF465" s="41" t="n"/>
      <c r="AG465" s="42">
        <f>IF(AD465="","",AD465-IF(AE465="",0,AE465)-IF(AF465="",0,AF465))</f>
        <v/>
      </c>
      <c r="AH465" s="26">
        <f>IFERROR(AG465/U465,"")</f>
        <v/>
      </c>
      <c r="AI465" s="23" t="n"/>
      <c r="AJ465" s="23" t="n"/>
      <c r="AK465" s="23" t="n"/>
      <c r="AL465" s="23" t="n"/>
    </row>
    <row r="466">
      <c r="A466" s="20">
        <f>IF(B466="","","TR-"&amp;TEXT(ROW()-2,"0000"))</f>
        <v/>
      </c>
      <c r="B466" s="43" t="n"/>
      <c r="C466" s="44" t="n"/>
      <c r="D466" s="44" t="n"/>
      <c r="E466" s="29" t="n"/>
      <c r="F466" s="29" t="n"/>
      <c r="G466" s="29" t="n"/>
      <c r="H466" s="29" t="n"/>
      <c r="I466" s="29" t="n"/>
      <c r="J466" s="29" t="n"/>
      <c r="K466" s="29" t="n"/>
      <c r="L466" s="45" t="n"/>
      <c r="M466" s="45" t="n"/>
      <c r="N466" s="45" t="n"/>
      <c r="O466" s="45" t="n"/>
      <c r="P466" s="45" t="n"/>
      <c r="Q466" s="45" t="n"/>
      <c r="R466" s="29" t="n"/>
      <c r="S466" s="29" t="n"/>
      <c r="T466" s="42">
        <f>IF(OR(L466="",M466=""),"",IFERROR(Settings!$B$3*Settings!$B$5,0))</f>
        <v/>
      </c>
      <c r="U466" s="42">
        <f>IF(OR(L466="",M466="",R466=""),"",ABS(L466-M466)*R466*IF(S466="",1,S466))</f>
        <v/>
      </c>
      <c r="V466" s="26">
        <f>IFERROR(ABS(N466-L466)/ABS(L466-M466),"")</f>
        <v/>
      </c>
      <c r="W466" s="29" t="n"/>
      <c r="X466" s="29" t="n"/>
      <c r="Y466" s="29" t="n"/>
      <c r="Z466" s="29" t="n"/>
      <c r="AA466" s="29" t="n"/>
      <c r="AB466" s="29" t="n"/>
      <c r="AC466" s="29" t="n"/>
      <c r="AD466" s="42">
        <f>IF(OR(L466="",Q466="",R466=""),"",IF(H466="Long",(Q466-L466)*R466*IF(S466="",1,S466),(L466-Q466)*R466*IF(S466="",1,S466)))</f>
        <v/>
      </c>
      <c r="AE466" s="45" t="n"/>
      <c r="AF466" s="45" t="n"/>
      <c r="AG466" s="42">
        <f>IF(AD466="","",AD466-IF(AE466="",0,AE466)-IF(AF466="",0,AF466))</f>
        <v/>
      </c>
      <c r="AH466" s="26">
        <f>IFERROR(AG466/U466,"")</f>
        <v/>
      </c>
      <c r="AI466" s="29" t="n"/>
      <c r="AJ466" s="29" t="n"/>
      <c r="AK466" s="29" t="n"/>
      <c r="AL466" s="29" t="n"/>
    </row>
    <row r="467">
      <c r="A467" s="20">
        <f>IF(B467="","","TR-"&amp;TEXT(ROW()-2,"0000"))</f>
        <v/>
      </c>
      <c r="B467" s="39" t="n"/>
      <c r="C467" s="40" t="n"/>
      <c r="D467" s="40" t="n"/>
      <c r="E467" s="23" t="n"/>
      <c r="F467" s="23" t="n"/>
      <c r="G467" s="23" t="n"/>
      <c r="H467" s="23" t="n"/>
      <c r="I467" s="23" t="n"/>
      <c r="J467" s="23" t="n"/>
      <c r="K467" s="23" t="n"/>
      <c r="L467" s="41" t="n"/>
      <c r="M467" s="41" t="n"/>
      <c r="N467" s="41" t="n"/>
      <c r="O467" s="41" t="n"/>
      <c r="P467" s="41" t="n"/>
      <c r="Q467" s="41" t="n"/>
      <c r="R467" s="23" t="n"/>
      <c r="S467" s="23" t="n"/>
      <c r="T467" s="42">
        <f>IF(OR(L467="",M467=""),"",IFERROR(Settings!$B$3*Settings!$B$5,0))</f>
        <v/>
      </c>
      <c r="U467" s="42">
        <f>IF(OR(L467="",M467="",R467=""),"",ABS(L467-M467)*R467*IF(S467="",1,S467))</f>
        <v/>
      </c>
      <c r="V467" s="26">
        <f>IFERROR(ABS(N467-L467)/ABS(L467-M467),"")</f>
        <v/>
      </c>
      <c r="W467" s="23" t="n"/>
      <c r="X467" s="23" t="n"/>
      <c r="Y467" s="23" t="n"/>
      <c r="Z467" s="23" t="n"/>
      <c r="AA467" s="23" t="n"/>
      <c r="AB467" s="23" t="n"/>
      <c r="AC467" s="23" t="n"/>
      <c r="AD467" s="42">
        <f>IF(OR(L467="",Q467="",R467=""),"",IF(H467="Long",(Q467-L467)*R467*IF(S467="",1,S467),(L467-Q467)*R467*IF(S467="",1,S467)))</f>
        <v/>
      </c>
      <c r="AE467" s="41" t="n"/>
      <c r="AF467" s="41" t="n"/>
      <c r="AG467" s="42">
        <f>IF(AD467="","",AD467-IF(AE467="",0,AE467)-IF(AF467="",0,AF467))</f>
        <v/>
      </c>
      <c r="AH467" s="26">
        <f>IFERROR(AG467/U467,"")</f>
        <v/>
      </c>
      <c r="AI467" s="23" t="n"/>
      <c r="AJ467" s="23" t="n"/>
      <c r="AK467" s="23" t="n"/>
      <c r="AL467" s="23" t="n"/>
    </row>
    <row r="468">
      <c r="A468" s="20">
        <f>IF(B468="","","TR-"&amp;TEXT(ROW()-2,"0000"))</f>
        <v/>
      </c>
      <c r="B468" s="43" t="n"/>
      <c r="C468" s="44" t="n"/>
      <c r="D468" s="44" t="n"/>
      <c r="E468" s="29" t="n"/>
      <c r="F468" s="29" t="n"/>
      <c r="G468" s="29" t="n"/>
      <c r="H468" s="29" t="n"/>
      <c r="I468" s="29" t="n"/>
      <c r="J468" s="29" t="n"/>
      <c r="K468" s="29" t="n"/>
      <c r="L468" s="45" t="n"/>
      <c r="M468" s="45" t="n"/>
      <c r="N468" s="45" t="n"/>
      <c r="O468" s="45" t="n"/>
      <c r="P468" s="45" t="n"/>
      <c r="Q468" s="45" t="n"/>
      <c r="R468" s="29" t="n"/>
      <c r="S468" s="29" t="n"/>
      <c r="T468" s="42">
        <f>IF(OR(L468="",M468=""),"",IFERROR(Settings!$B$3*Settings!$B$5,0))</f>
        <v/>
      </c>
      <c r="U468" s="42">
        <f>IF(OR(L468="",M468="",R468=""),"",ABS(L468-M468)*R468*IF(S468="",1,S468))</f>
        <v/>
      </c>
      <c r="V468" s="26">
        <f>IFERROR(ABS(N468-L468)/ABS(L468-M468),"")</f>
        <v/>
      </c>
      <c r="W468" s="29" t="n"/>
      <c r="X468" s="29" t="n"/>
      <c r="Y468" s="29" t="n"/>
      <c r="Z468" s="29" t="n"/>
      <c r="AA468" s="29" t="n"/>
      <c r="AB468" s="29" t="n"/>
      <c r="AC468" s="29" t="n"/>
      <c r="AD468" s="42">
        <f>IF(OR(L468="",Q468="",R468=""),"",IF(H468="Long",(Q468-L468)*R468*IF(S468="",1,S468),(L468-Q468)*R468*IF(S468="",1,S468)))</f>
        <v/>
      </c>
      <c r="AE468" s="45" t="n"/>
      <c r="AF468" s="45" t="n"/>
      <c r="AG468" s="42">
        <f>IF(AD468="","",AD468-IF(AE468="",0,AE468)-IF(AF468="",0,AF468))</f>
        <v/>
      </c>
      <c r="AH468" s="26">
        <f>IFERROR(AG468/U468,"")</f>
        <v/>
      </c>
      <c r="AI468" s="29" t="n"/>
      <c r="AJ468" s="29" t="n"/>
      <c r="AK468" s="29" t="n"/>
      <c r="AL468" s="29" t="n"/>
    </row>
    <row r="469">
      <c r="A469" s="20">
        <f>IF(B469="","","TR-"&amp;TEXT(ROW()-2,"0000"))</f>
        <v/>
      </c>
      <c r="B469" s="39" t="n"/>
      <c r="C469" s="40" t="n"/>
      <c r="D469" s="40" t="n"/>
      <c r="E469" s="23" t="n"/>
      <c r="F469" s="23" t="n"/>
      <c r="G469" s="23" t="n"/>
      <c r="H469" s="23" t="n"/>
      <c r="I469" s="23" t="n"/>
      <c r="J469" s="23" t="n"/>
      <c r="K469" s="23" t="n"/>
      <c r="L469" s="41" t="n"/>
      <c r="M469" s="41" t="n"/>
      <c r="N469" s="41" t="n"/>
      <c r="O469" s="41" t="n"/>
      <c r="P469" s="41" t="n"/>
      <c r="Q469" s="41" t="n"/>
      <c r="R469" s="23" t="n"/>
      <c r="S469" s="23" t="n"/>
      <c r="T469" s="42">
        <f>IF(OR(L469="",M469=""),"",IFERROR(Settings!$B$3*Settings!$B$5,0))</f>
        <v/>
      </c>
      <c r="U469" s="42">
        <f>IF(OR(L469="",M469="",R469=""),"",ABS(L469-M469)*R469*IF(S469="",1,S469))</f>
        <v/>
      </c>
      <c r="V469" s="26">
        <f>IFERROR(ABS(N469-L469)/ABS(L469-M469),"")</f>
        <v/>
      </c>
      <c r="W469" s="23" t="n"/>
      <c r="X469" s="23" t="n"/>
      <c r="Y469" s="23" t="n"/>
      <c r="Z469" s="23" t="n"/>
      <c r="AA469" s="23" t="n"/>
      <c r="AB469" s="23" t="n"/>
      <c r="AC469" s="23" t="n"/>
      <c r="AD469" s="42">
        <f>IF(OR(L469="",Q469="",R469=""),"",IF(H469="Long",(Q469-L469)*R469*IF(S469="",1,S469),(L469-Q469)*R469*IF(S469="",1,S469)))</f>
        <v/>
      </c>
      <c r="AE469" s="41" t="n"/>
      <c r="AF469" s="41" t="n"/>
      <c r="AG469" s="42">
        <f>IF(AD469="","",AD469-IF(AE469="",0,AE469)-IF(AF469="",0,AF469))</f>
        <v/>
      </c>
      <c r="AH469" s="26">
        <f>IFERROR(AG469/U469,"")</f>
        <v/>
      </c>
      <c r="AI469" s="23" t="n"/>
      <c r="AJ469" s="23" t="n"/>
      <c r="AK469" s="23" t="n"/>
      <c r="AL469" s="23" t="n"/>
    </row>
    <row r="470">
      <c r="A470" s="20">
        <f>IF(B470="","","TR-"&amp;TEXT(ROW()-2,"0000"))</f>
        <v/>
      </c>
      <c r="B470" s="43" t="n"/>
      <c r="C470" s="44" t="n"/>
      <c r="D470" s="44" t="n"/>
      <c r="E470" s="29" t="n"/>
      <c r="F470" s="29" t="n"/>
      <c r="G470" s="29" t="n"/>
      <c r="H470" s="29" t="n"/>
      <c r="I470" s="29" t="n"/>
      <c r="J470" s="29" t="n"/>
      <c r="K470" s="29" t="n"/>
      <c r="L470" s="45" t="n"/>
      <c r="M470" s="45" t="n"/>
      <c r="N470" s="45" t="n"/>
      <c r="O470" s="45" t="n"/>
      <c r="P470" s="45" t="n"/>
      <c r="Q470" s="45" t="n"/>
      <c r="R470" s="29" t="n"/>
      <c r="S470" s="29" t="n"/>
      <c r="T470" s="42">
        <f>IF(OR(L470="",M470=""),"",IFERROR(Settings!$B$3*Settings!$B$5,0))</f>
        <v/>
      </c>
      <c r="U470" s="42">
        <f>IF(OR(L470="",M470="",R470=""),"",ABS(L470-M470)*R470*IF(S470="",1,S470))</f>
        <v/>
      </c>
      <c r="V470" s="26">
        <f>IFERROR(ABS(N470-L470)/ABS(L470-M470),"")</f>
        <v/>
      </c>
      <c r="W470" s="29" t="n"/>
      <c r="X470" s="29" t="n"/>
      <c r="Y470" s="29" t="n"/>
      <c r="Z470" s="29" t="n"/>
      <c r="AA470" s="29" t="n"/>
      <c r="AB470" s="29" t="n"/>
      <c r="AC470" s="29" t="n"/>
      <c r="AD470" s="42">
        <f>IF(OR(L470="",Q470="",R470=""),"",IF(H470="Long",(Q470-L470)*R470*IF(S470="",1,S470),(L470-Q470)*R470*IF(S470="",1,S470)))</f>
        <v/>
      </c>
      <c r="AE470" s="45" t="n"/>
      <c r="AF470" s="45" t="n"/>
      <c r="AG470" s="42">
        <f>IF(AD470="","",AD470-IF(AE470="",0,AE470)-IF(AF470="",0,AF470))</f>
        <v/>
      </c>
      <c r="AH470" s="26">
        <f>IFERROR(AG470/U470,"")</f>
        <v/>
      </c>
      <c r="AI470" s="29" t="n"/>
      <c r="AJ470" s="29" t="n"/>
      <c r="AK470" s="29" t="n"/>
      <c r="AL470" s="29" t="n"/>
    </row>
    <row r="471">
      <c r="A471" s="20">
        <f>IF(B471="","","TR-"&amp;TEXT(ROW()-2,"0000"))</f>
        <v/>
      </c>
      <c r="B471" s="39" t="n"/>
      <c r="C471" s="40" t="n"/>
      <c r="D471" s="40" t="n"/>
      <c r="E471" s="23" t="n"/>
      <c r="F471" s="23" t="n"/>
      <c r="G471" s="23" t="n"/>
      <c r="H471" s="23" t="n"/>
      <c r="I471" s="23" t="n"/>
      <c r="J471" s="23" t="n"/>
      <c r="K471" s="23" t="n"/>
      <c r="L471" s="41" t="n"/>
      <c r="M471" s="41" t="n"/>
      <c r="N471" s="41" t="n"/>
      <c r="O471" s="41" t="n"/>
      <c r="P471" s="41" t="n"/>
      <c r="Q471" s="41" t="n"/>
      <c r="R471" s="23" t="n"/>
      <c r="S471" s="23" t="n"/>
      <c r="T471" s="42">
        <f>IF(OR(L471="",M471=""),"",IFERROR(Settings!$B$3*Settings!$B$5,0))</f>
        <v/>
      </c>
      <c r="U471" s="42">
        <f>IF(OR(L471="",M471="",R471=""),"",ABS(L471-M471)*R471*IF(S471="",1,S471))</f>
        <v/>
      </c>
      <c r="V471" s="26">
        <f>IFERROR(ABS(N471-L471)/ABS(L471-M471),"")</f>
        <v/>
      </c>
      <c r="W471" s="23" t="n"/>
      <c r="X471" s="23" t="n"/>
      <c r="Y471" s="23" t="n"/>
      <c r="Z471" s="23" t="n"/>
      <c r="AA471" s="23" t="n"/>
      <c r="AB471" s="23" t="n"/>
      <c r="AC471" s="23" t="n"/>
      <c r="AD471" s="42">
        <f>IF(OR(L471="",Q471="",R471=""),"",IF(H471="Long",(Q471-L471)*R471*IF(S471="",1,S471),(L471-Q471)*R471*IF(S471="",1,S471)))</f>
        <v/>
      </c>
      <c r="AE471" s="41" t="n"/>
      <c r="AF471" s="41" t="n"/>
      <c r="AG471" s="42">
        <f>IF(AD471="","",AD471-IF(AE471="",0,AE471)-IF(AF471="",0,AF471))</f>
        <v/>
      </c>
      <c r="AH471" s="26">
        <f>IFERROR(AG471/U471,"")</f>
        <v/>
      </c>
      <c r="AI471" s="23" t="n"/>
      <c r="AJ471" s="23" t="n"/>
      <c r="AK471" s="23" t="n"/>
      <c r="AL471" s="23" t="n"/>
    </row>
    <row r="472">
      <c r="A472" s="20">
        <f>IF(B472="","","TR-"&amp;TEXT(ROW()-2,"0000"))</f>
        <v/>
      </c>
      <c r="B472" s="43" t="n"/>
      <c r="C472" s="44" t="n"/>
      <c r="D472" s="44" t="n"/>
      <c r="E472" s="29" t="n"/>
      <c r="F472" s="29" t="n"/>
      <c r="G472" s="29" t="n"/>
      <c r="H472" s="29" t="n"/>
      <c r="I472" s="29" t="n"/>
      <c r="J472" s="29" t="n"/>
      <c r="K472" s="29" t="n"/>
      <c r="L472" s="45" t="n"/>
      <c r="M472" s="45" t="n"/>
      <c r="N472" s="45" t="n"/>
      <c r="O472" s="45" t="n"/>
      <c r="P472" s="45" t="n"/>
      <c r="Q472" s="45" t="n"/>
      <c r="R472" s="29" t="n"/>
      <c r="S472" s="29" t="n"/>
      <c r="T472" s="42">
        <f>IF(OR(L472="",M472=""),"",IFERROR(Settings!$B$3*Settings!$B$5,0))</f>
        <v/>
      </c>
      <c r="U472" s="42">
        <f>IF(OR(L472="",M472="",R472=""),"",ABS(L472-M472)*R472*IF(S472="",1,S472))</f>
        <v/>
      </c>
      <c r="V472" s="26">
        <f>IFERROR(ABS(N472-L472)/ABS(L472-M472),"")</f>
        <v/>
      </c>
      <c r="W472" s="29" t="n"/>
      <c r="X472" s="29" t="n"/>
      <c r="Y472" s="29" t="n"/>
      <c r="Z472" s="29" t="n"/>
      <c r="AA472" s="29" t="n"/>
      <c r="AB472" s="29" t="n"/>
      <c r="AC472" s="29" t="n"/>
      <c r="AD472" s="42">
        <f>IF(OR(L472="",Q472="",R472=""),"",IF(H472="Long",(Q472-L472)*R472*IF(S472="",1,S472),(L472-Q472)*R472*IF(S472="",1,S472)))</f>
        <v/>
      </c>
      <c r="AE472" s="45" t="n"/>
      <c r="AF472" s="45" t="n"/>
      <c r="AG472" s="42">
        <f>IF(AD472="","",AD472-IF(AE472="",0,AE472)-IF(AF472="",0,AF472))</f>
        <v/>
      </c>
      <c r="AH472" s="26">
        <f>IFERROR(AG472/U472,"")</f>
        <v/>
      </c>
      <c r="AI472" s="29" t="n"/>
      <c r="AJ472" s="29" t="n"/>
      <c r="AK472" s="29" t="n"/>
      <c r="AL472" s="29" t="n"/>
    </row>
    <row r="473">
      <c r="A473" s="20">
        <f>IF(B473="","","TR-"&amp;TEXT(ROW()-2,"0000"))</f>
        <v/>
      </c>
      <c r="B473" s="39" t="n"/>
      <c r="C473" s="40" t="n"/>
      <c r="D473" s="40" t="n"/>
      <c r="E473" s="23" t="n"/>
      <c r="F473" s="23" t="n"/>
      <c r="G473" s="23" t="n"/>
      <c r="H473" s="23" t="n"/>
      <c r="I473" s="23" t="n"/>
      <c r="J473" s="23" t="n"/>
      <c r="K473" s="23" t="n"/>
      <c r="L473" s="41" t="n"/>
      <c r="M473" s="41" t="n"/>
      <c r="N473" s="41" t="n"/>
      <c r="O473" s="41" t="n"/>
      <c r="P473" s="41" t="n"/>
      <c r="Q473" s="41" t="n"/>
      <c r="R473" s="23" t="n"/>
      <c r="S473" s="23" t="n"/>
      <c r="T473" s="42">
        <f>IF(OR(L473="",M473=""),"",IFERROR(Settings!$B$3*Settings!$B$5,0))</f>
        <v/>
      </c>
      <c r="U473" s="42">
        <f>IF(OR(L473="",M473="",R473=""),"",ABS(L473-M473)*R473*IF(S473="",1,S473))</f>
        <v/>
      </c>
      <c r="V473" s="26">
        <f>IFERROR(ABS(N473-L473)/ABS(L473-M473),"")</f>
        <v/>
      </c>
      <c r="W473" s="23" t="n"/>
      <c r="X473" s="23" t="n"/>
      <c r="Y473" s="23" t="n"/>
      <c r="Z473" s="23" t="n"/>
      <c r="AA473" s="23" t="n"/>
      <c r="AB473" s="23" t="n"/>
      <c r="AC473" s="23" t="n"/>
      <c r="AD473" s="42">
        <f>IF(OR(L473="",Q473="",R473=""),"",IF(H473="Long",(Q473-L473)*R473*IF(S473="",1,S473),(L473-Q473)*R473*IF(S473="",1,S473)))</f>
        <v/>
      </c>
      <c r="AE473" s="41" t="n"/>
      <c r="AF473" s="41" t="n"/>
      <c r="AG473" s="42">
        <f>IF(AD473="","",AD473-IF(AE473="",0,AE473)-IF(AF473="",0,AF473))</f>
        <v/>
      </c>
      <c r="AH473" s="26">
        <f>IFERROR(AG473/U473,"")</f>
        <v/>
      </c>
      <c r="AI473" s="23" t="n"/>
      <c r="AJ473" s="23" t="n"/>
      <c r="AK473" s="23" t="n"/>
      <c r="AL473" s="23" t="n"/>
    </row>
    <row r="474">
      <c r="A474" s="20">
        <f>IF(B474="","","TR-"&amp;TEXT(ROW()-2,"0000"))</f>
        <v/>
      </c>
      <c r="B474" s="43" t="n"/>
      <c r="C474" s="44" t="n"/>
      <c r="D474" s="44" t="n"/>
      <c r="E474" s="29" t="n"/>
      <c r="F474" s="29" t="n"/>
      <c r="G474" s="29" t="n"/>
      <c r="H474" s="29" t="n"/>
      <c r="I474" s="29" t="n"/>
      <c r="J474" s="29" t="n"/>
      <c r="K474" s="29" t="n"/>
      <c r="L474" s="45" t="n"/>
      <c r="M474" s="45" t="n"/>
      <c r="N474" s="45" t="n"/>
      <c r="O474" s="45" t="n"/>
      <c r="P474" s="45" t="n"/>
      <c r="Q474" s="45" t="n"/>
      <c r="R474" s="29" t="n"/>
      <c r="S474" s="29" t="n"/>
      <c r="T474" s="42">
        <f>IF(OR(L474="",M474=""),"",IFERROR(Settings!$B$3*Settings!$B$5,0))</f>
        <v/>
      </c>
      <c r="U474" s="42">
        <f>IF(OR(L474="",M474="",R474=""),"",ABS(L474-M474)*R474*IF(S474="",1,S474))</f>
        <v/>
      </c>
      <c r="V474" s="26">
        <f>IFERROR(ABS(N474-L474)/ABS(L474-M474),"")</f>
        <v/>
      </c>
      <c r="W474" s="29" t="n"/>
      <c r="X474" s="29" t="n"/>
      <c r="Y474" s="29" t="n"/>
      <c r="Z474" s="29" t="n"/>
      <c r="AA474" s="29" t="n"/>
      <c r="AB474" s="29" t="n"/>
      <c r="AC474" s="29" t="n"/>
      <c r="AD474" s="42">
        <f>IF(OR(L474="",Q474="",R474=""),"",IF(H474="Long",(Q474-L474)*R474*IF(S474="",1,S474),(L474-Q474)*R474*IF(S474="",1,S474)))</f>
        <v/>
      </c>
      <c r="AE474" s="45" t="n"/>
      <c r="AF474" s="45" t="n"/>
      <c r="AG474" s="42">
        <f>IF(AD474="","",AD474-IF(AE474="",0,AE474)-IF(AF474="",0,AF474))</f>
        <v/>
      </c>
      <c r="AH474" s="26">
        <f>IFERROR(AG474/U474,"")</f>
        <v/>
      </c>
      <c r="AI474" s="29" t="n"/>
      <c r="AJ474" s="29" t="n"/>
      <c r="AK474" s="29" t="n"/>
      <c r="AL474" s="29" t="n"/>
    </row>
    <row r="475">
      <c r="A475" s="20">
        <f>IF(B475="","","TR-"&amp;TEXT(ROW()-2,"0000"))</f>
        <v/>
      </c>
      <c r="B475" s="39" t="n"/>
      <c r="C475" s="40" t="n"/>
      <c r="D475" s="40" t="n"/>
      <c r="E475" s="23" t="n"/>
      <c r="F475" s="23" t="n"/>
      <c r="G475" s="23" t="n"/>
      <c r="H475" s="23" t="n"/>
      <c r="I475" s="23" t="n"/>
      <c r="J475" s="23" t="n"/>
      <c r="K475" s="23" t="n"/>
      <c r="L475" s="41" t="n"/>
      <c r="M475" s="41" t="n"/>
      <c r="N475" s="41" t="n"/>
      <c r="O475" s="41" t="n"/>
      <c r="P475" s="41" t="n"/>
      <c r="Q475" s="41" t="n"/>
      <c r="R475" s="23" t="n"/>
      <c r="S475" s="23" t="n"/>
      <c r="T475" s="42">
        <f>IF(OR(L475="",M475=""),"",IFERROR(Settings!$B$3*Settings!$B$5,0))</f>
        <v/>
      </c>
      <c r="U475" s="42">
        <f>IF(OR(L475="",M475="",R475=""),"",ABS(L475-M475)*R475*IF(S475="",1,S475))</f>
        <v/>
      </c>
      <c r="V475" s="26">
        <f>IFERROR(ABS(N475-L475)/ABS(L475-M475),"")</f>
        <v/>
      </c>
      <c r="W475" s="23" t="n"/>
      <c r="X475" s="23" t="n"/>
      <c r="Y475" s="23" t="n"/>
      <c r="Z475" s="23" t="n"/>
      <c r="AA475" s="23" t="n"/>
      <c r="AB475" s="23" t="n"/>
      <c r="AC475" s="23" t="n"/>
      <c r="AD475" s="42">
        <f>IF(OR(L475="",Q475="",R475=""),"",IF(H475="Long",(Q475-L475)*R475*IF(S475="",1,S475),(L475-Q475)*R475*IF(S475="",1,S475)))</f>
        <v/>
      </c>
      <c r="AE475" s="41" t="n"/>
      <c r="AF475" s="41" t="n"/>
      <c r="AG475" s="42">
        <f>IF(AD475="","",AD475-IF(AE475="",0,AE475)-IF(AF475="",0,AF475))</f>
        <v/>
      </c>
      <c r="AH475" s="26">
        <f>IFERROR(AG475/U475,"")</f>
        <v/>
      </c>
      <c r="AI475" s="23" t="n"/>
      <c r="AJ475" s="23" t="n"/>
      <c r="AK475" s="23" t="n"/>
      <c r="AL475" s="23" t="n"/>
    </row>
    <row r="476">
      <c r="A476" s="20">
        <f>IF(B476="","","TR-"&amp;TEXT(ROW()-2,"0000"))</f>
        <v/>
      </c>
      <c r="B476" s="43" t="n"/>
      <c r="C476" s="44" t="n"/>
      <c r="D476" s="44" t="n"/>
      <c r="E476" s="29" t="n"/>
      <c r="F476" s="29" t="n"/>
      <c r="G476" s="29" t="n"/>
      <c r="H476" s="29" t="n"/>
      <c r="I476" s="29" t="n"/>
      <c r="J476" s="29" t="n"/>
      <c r="K476" s="29" t="n"/>
      <c r="L476" s="45" t="n"/>
      <c r="M476" s="45" t="n"/>
      <c r="N476" s="45" t="n"/>
      <c r="O476" s="45" t="n"/>
      <c r="P476" s="45" t="n"/>
      <c r="Q476" s="45" t="n"/>
      <c r="R476" s="29" t="n"/>
      <c r="S476" s="29" t="n"/>
      <c r="T476" s="42">
        <f>IF(OR(L476="",M476=""),"",IFERROR(Settings!$B$3*Settings!$B$5,0))</f>
        <v/>
      </c>
      <c r="U476" s="42">
        <f>IF(OR(L476="",M476="",R476=""),"",ABS(L476-M476)*R476*IF(S476="",1,S476))</f>
        <v/>
      </c>
      <c r="V476" s="26">
        <f>IFERROR(ABS(N476-L476)/ABS(L476-M476),"")</f>
        <v/>
      </c>
      <c r="W476" s="29" t="n"/>
      <c r="X476" s="29" t="n"/>
      <c r="Y476" s="29" t="n"/>
      <c r="Z476" s="29" t="n"/>
      <c r="AA476" s="29" t="n"/>
      <c r="AB476" s="29" t="n"/>
      <c r="AC476" s="29" t="n"/>
      <c r="AD476" s="42">
        <f>IF(OR(L476="",Q476="",R476=""),"",IF(H476="Long",(Q476-L476)*R476*IF(S476="",1,S476),(L476-Q476)*R476*IF(S476="",1,S476)))</f>
        <v/>
      </c>
      <c r="AE476" s="45" t="n"/>
      <c r="AF476" s="45" t="n"/>
      <c r="AG476" s="42">
        <f>IF(AD476="","",AD476-IF(AE476="",0,AE476)-IF(AF476="",0,AF476))</f>
        <v/>
      </c>
      <c r="AH476" s="26">
        <f>IFERROR(AG476/U476,"")</f>
        <v/>
      </c>
      <c r="AI476" s="29" t="n"/>
      <c r="AJ476" s="29" t="n"/>
      <c r="AK476" s="29" t="n"/>
      <c r="AL476" s="29" t="n"/>
    </row>
    <row r="477">
      <c r="A477" s="20">
        <f>IF(B477="","","TR-"&amp;TEXT(ROW()-2,"0000"))</f>
        <v/>
      </c>
      <c r="B477" s="39" t="n"/>
      <c r="C477" s="40" t="n"/>
      <c r="D477" s="40" t="n"/>
      <c r="E477" s="23" t="n"/>
      <c r="F477" s="23" t="n"/>
      <c r="G477" s="23" t="n"/>
      <c r="H477" s="23" t="n"/>
      <c r="I477" s="23" t="n"/>
      <c r="J477" s="23" t="n"/>
      <c r="K477" s="23" t="n"/>
      <c r="L477" s="41" t="n"/>
      <c r="M477" s="41" t="n"/>
      <c r="N477" s="41" t="n"/>
      <c r="O477" s="41" t="n"/>
      <c r="P477" s="41" t="n"/>
      <c r="Q477" s="41" t="n"/>
      <c r="R477" s="23" t="n"/>
      <c r="S477" s="23" t="n"/>
      <c r="T477" s="42">
        <f>IF(OR(L477="",M477=""),"",IFERROR(Settings!$B$3*Settings!$B$5,0))</f>
        <v/>
      </c>
      <c r="U477" s="42">
        <f>IF(OR(L477="",M477="",R477=""),"",ABS(L477-M477)*R477*IF(S477="",1,S477))</f>
        <v/>
      </c>
      <c r="V477" s="26">
        <f>IFERROR(ABS(N477-L477)/ABS(L477-M477),"")</f>
        <v/>
      </c>
      <c r="W477" s="23" t="n"/>
      <c r="X477" s="23" t="n"/>
      <c r="Y477" s="23" t="n"/>
      <c r="Z477" s="23" t="n"/>
      <c r="AA477" s="23" t="n"/>
      <c r="AB477" s="23" t="n"/>
      <c r="AC477" s="23" t="n"/>
      <c r="AD477" s="42">
        <f>IF(OR(L477="",Q477="",R477=""),"",IF(H477="Long",(Q477-L477)*R477*IF(S477="",1,S477),(L477-Q477)*R477*IF(S477="",1,S477)))</f>
        <v/>
      </c>
      <c r="AE477" s="41" t="n"/>
      <c r="AF477" s="41" t="n"/>
      <c r="AG477" s="42">
        <f>IF(AD477="","",AD477-IF(AE477="",0,AE477)-IF(AF477="",0,AF477))</f>
        <v/>
      </c>
      <c r="AH477" s="26">
        <f>IFERROR(AG477/U477,"")</f>
        <v/>
      </c>
      <c r="AI477" s="23" t="n"/>
      <c r="AJ477" s="23" t="n"/>
      <c r="AK477" s="23" t="n"/>
      <c r="AL477" s="23" t="n"/>
    </row>
    <row r="478">
      <c r="A478" s="20">
        <f>IF(B478="","","TR-"&amp;TEXT(ROW()-2,"0000"))</f>
        <v/>
      </c>
      <c r="B478" s="43" t="n"/>
      <c r="C478" s="44" t="n"/>
      <c r="D478" s="44" t="n"/>
      <c r="E478" s="29" t="n"/>
      <c r="F478" s="29" t="n"/>
      <c r="G478" s="29" t="n"/>
      <c r="H478" s="29" t="n"/>
      <c r="I478" s="29" t="n"/>
      <c r="J478" s="29" t="n"/>
      <c r="K478" s="29" t="n"/>
      <c r="L478" s="45" t="n"/>
      <c r="M478" s="45" t="n"/>
      <c r="N478" s="45" t="n"/>
      <c r="O478" s="45" t="n"/>
      <c r="P478" s="45" t="n"/>
      <c r="Q478" s="45" t="n"/>
      <c r="R478" s="29" t="n"/>
      <c r="S478" s="29" t="n"/>
      <c r="T478" s="42">
        <f>IF(OR(L478="",M478=""),"",IFERROR(Settings!$B$3*Settings!$B$5,0))</f>
        <v/>
      </c>
      <c r="U478" s="42">
        <f>IF(OR(L478="",M478="",R478=""),"",ABS(L478-M478)*R478*IF(S478="",1,S478))</f>
        <v/>
      </c>
      <c r="V478" s="26">
        <f>IFERROR(ABS(N478-L478)/ABS(L478-M478),"")</f>
        <v/>
      </c>
      <c r="W478" s="29" t="n"/>
      <c r="X478" s="29" t="n"/>
      <c r="Y478" s="29" t="n"/>
      <c r="Z478" s="29" t="n"/>
      <c r="AA478" s="29" t="n"/>
      <c r="AB478" s="29" t="n"/>
      <c r="AC478" s="29" t="n"/>
      <c r="AD478" s="42">
        <f>IF(OR(L478="",Q478="",R478=""),"",IF(H478="Long",(Q478-L478)*R478*IF(S478="",1,S478),(L478-Q478)*R478*IF(S478="",1,S478)))</f>
        <v/>
      </c>
      <c r="AE478" s="45" t="n"/>
      <c r="AF478" s="45" t="n"/>
      <c r="AG478" s="42">
        <f>IF(AD478="","",AD478-IF(AE478="",0,AE478)-IF(AF478="",0,AF478))</f>
        <v/>
      </c>
      <c r="AH478" s="26">
        <f>IFERROR(AG478/U478,"")</f>
        <v/>
      </c>
      <c r="AI478" s="29" t="n"/>
      <c r="AJ478" s="29" t="n"/>
      <c r="AK478" s="29" t="n"/>
      <c r="AL478" s="29" t="n"/>
    </row>
    <row r="479">
      <c r="A479" s="20">
        <f>IF(B479="","","TR-"&amp;TEXT(ROW()-2,"0000"))</f>
        <v/>
      </c>
      <c r="B479" s="39" t="n"/>
      <c r="C479" s="40" t="n"/>
      <c r="D479" s="40" t="n"/>
      <c r="E479" s="23" t="n"/>
      <c r="F479" s="23" t="n"/>
      <c r="G479" s="23" t="n"/>
      <c r="H479" s="23" t="n"/>
      <c r="I479" s="23" t="n"/>
      <c r="J479" s="23" t="n"/>
      <c r="K479" s="23" t="n"/>
      <c r="L479" s="41" t="n"/>
      <c r="M479" s="41" t="n"/>
      <c r="N479" s="41" t="n"/>
      <c r="O479" s="41" t="n"/>
      <c r="P479" s="41" t="n"/>
      <c r="Q479" s="41" t="n"/>
      <c r="R479" s="23" t="n"/>
      <c r="S479" s="23" t="n"/>
      <c r="T479" s="42">
        <f>IF(OR(L479="",M479=""),"",IFERROR(Settings!$B$3*Settings!$B$5,0))</f>
        <v/>
      </c>
      <c r="U479" s="42">
        <f>IF(OR(L479="",M479="",R479=""),"",ABS(L479-M479)*R479*IF(S479="",1,S479))</f>
        <v/>
      </c>
      <c r="V479" s="26">
        <f>IFERROR(ABS(N479-L479)/ABS(L479-M479),"")</f>
        <v/>
      </c>
      <c r="W479" s="23" t="n"/>
      <c r="X479" s="23" t="n"/>
      <c r="Y479" s="23" t="n"/>
      <c r="Z479" s="23" t="n"/>
      <c r="AA479" s="23" t="n"/>
      <c r="AB479" s="23" t="n"/>
      <c r="AC479" s="23" t="n"/>
      <c r="AD479" s="42">
        <f>IF(OR(L479="",Q479="",R479=""),"",IF(H479="Long",(Q479-L479)*R479*IF(S479="",1,S479),(L479-Q479)*R479*IF(S479="",1,S479)))</f>
        <v/>
      </c>
      <c r="AE479" s="41" t="n"/>
      <c r="AF479" s="41" t="n"/>
      <c r="AG479" s="42">
        <f>IF(AD479="","",AD479-IF(AE479="",0,AE479)-IF(AF479="",0,AF479))</f>
        <v/>
      </c>
      <c r="AH479" s="26">
        <f>IFERROR(AG479/U479,"")</f>
        <v/>
      </c>
      <c r="AI479" s="23" t="n"/>
      <c r="AJ479" s="23" t="n"/>
      <c r="AK479" s="23" t="n"/>
      <c r="AL479" s="23" t="n"/>
    </row>
    <row r="480">
      <c r="A480" s="20">
        <f>IF(B480="","","TR-"&amp;TEXT(ROW()-2,"0000"))</f>
        <v/>
      </c>
      <c r="B480" s="43" t="n"/>
      <c r="C480" s="44" t="n"/>
      <c r="D480" s="44" t="n"/>
      <c r="E480" s="29" t="n"/>
      <c r="F480" s="29" t="n"/>
      <c r="G480" s="29" t="n"/>
      <c r="H480" s="29" t="n"/>
      <c r="I480" s="29" t="n"/>
      <c r="J480" s="29" t="n"/>
      <c r="K480" s="29" t="n"/>
      <c r="L480" s="45" t="n"/>
      <c r="M480" s="45" t="n"/>
      <c r="N480" s="45" t="n"/>
      <c r="O480" s="45" t="n"/>
      <c r="P480" s="45" t="n"/>
      <c r="Q480" s="45" t="n"/>
      <c r="R480" s="29" t="n"/>
      <c r="S480" s="29" t="n"/>
      <c r="T480" s="42">
        <f>IF(OR(L480="",M480=""),"",IFERROR(Settings!$B$3*Settings!$B$5,0))</f>
        <v/>
      </c>
      <c r="U480" s="42">
        <f>IF(OR(L480="",M480="",R480=""),"",ABS(L480-M480)*R480*IF(S480="",1,S480))</f>
        <v/>
      </c>
      <c r="V480" s="26">
        <f>IFERROR(ABS(N480-L480)/ABS(L480-M480),"")</f>
        <v/>
      </c>
      <c r="W480" s="29" t="n"/>
      <c r="X480" s="29" t="n"/>
      <c r="Y480" s="29" t="n"/>
      <c r="Z480" s="29" t="n"/>
      <c r="AA480" s="29" t="n"/>
      <c r="AB480" s="29" t="n"/>
      <c r="AC480" s="29" t="n"/>
      <c r="AD480" s="42">
        <f>IF(OR(L480="",Q480="",R480=""),"",IF(H480="Long",(Q480-L480)*R480*IF(S480="",1,S480),(L480-Q480)*R480*IF(S480="",1,S480)))</f>
        <v/>
      </c>
      <c r="AE480" s="45" t="n"/>
      <c r="AF480" s="45" t="n"/>
      <c r="AG480" s="42">
        <f>IF(AD480="","",AD480-IF(AE480="",0,AE480)-IF(AF480="",0,AF480))</f>
        <v/>
      </c>
      <c r="AH480" s="26">
        <f>IFERROR(AG480/U480,"")</f>
        <v/>
      </c>
      <c r="AI480" s="29" t="n"/>
      <c r="AJ480" s="29" t="n"/>
      <c r="AK480" s="29" t="n"/>
      <c r="AL480" s="29" t="n"/>
    </row>
    <row r="481">
      <c r="A481" s="20">
        <f>IF(B481="","","TR-"&amp;TEXT(ROW()-2,"0000"))</f>
        <v/>
      </c>
      <c r="B481" s="39" t="n"/>
      <c r="C481" s="40" t="n"/>
      <c r="D481" s="40" t="n"/>
      <c r="E481" s="23" t="n"/>
      <c r="F481" s="23" t="n"/>
      <c r="G481" s="23" t="n"/>
      <c r="H481" s="23" t="n"/>
      <c r="I481" s="23" t="n"/>
      <c r="J481" s="23" t="n"/>
      <c r="K481" s="23" t="n"/>
      <c r="L481" s="41" t="n"/>
      <c r="M481" s="41" t="n"/>
      <c r="N481" s="41" t="n"/>
      <c r="O481" s="41" t="n"/>
      <c r="P481" s="41" t="n"/>
      <c r="Q481" s="41" t="n"/>
      <c r="R481" s="23" t="n"/>
      <c r="S481" s="23" t="n"/>
      <c r="T481" s="42">
        <f>IF(OR(L481="",M481=""),"",IFERROR(Settings!$B$3*Settings!$B$5,0))</f>
        <v/>
      </c>
      <c r="U481" s="42">
        <f>IF(OR(L481="",M481="",R481=""),"",ABS(L481-M481)*R481*IF(S481="",1,S481))</f>
        <v/>
      </c>
      <c r="V481" s="26">
        <f>IFERROR(ABS(N481-L481)/ABS(L481-M481),"")</f>
        <v/>
      </c>
      <c r="W481" s="23" t="n"/>
      <c r="X481" s="23" t="n"/>
      <c r="Y481" s="23" t="n"/>
      <c r="Z481" s="23" t="n"/>
      <c r="AA481" s="23" t="n"/>
      <c r="AB481" s="23" t="n"/>
      <c r="AC481" s="23" t="n"/>
      <c r="AD481" s="42">
        <f>IF(OR(L481="",Q481="",R481=""),"",IF(H481="Long",(Q481-L481)*R481*IF(S481="",1,S481),(L481-Q481)*R481*IF(S481="",1,S481)))</f>
        <v/>
      </c>
      <c r="AE481" s="41" t="n"/>
      <c r="AF481" s="41" t="n"/>
      <c r="AG481" s="42">
        <f>IF(AD481="","",AD481-IF(AE481="",0,AE481)-IF(AF481="",0,AF481))</f>
        <v/>
      </c>
      <c r="AH481" s="26">
        <f>IFERROR(AG481/U481,"")</f>
        <v/>
      </c>
      <c r="AI481" s="23" t="n"/>
      <c r="AJ481" s="23" t="n"/>
      <c r="AK481" s="23" t="n"/>
      <c r="AL481" s="23" t="n"/>
    </row>
    <row r="482">
      <c r="A482" s="20">
        <f>IF(B482="","","TR-"&amp;TEXT(ROW()-2,"0000"))</f>
        <v/>
      </c>
      <c r="B482" s="43" t="n"/>
      <c r="C482" s="44" t="n"/>
      <c r="D482" s="44" t="n"/>
      <c r="E482" s="29" t="n"/>
      <c r="F482" s="29" t="n"/>
      <c r="G482" s="29" t="n"/>
      <c r="H482" s="29" t="n"/>
      <c r="I482" s="29" t="n"/>
      <c r="J482" s="29" t="n"/>
      <c r="K482" s="29" t="n"/>
      <c r="L482" s="45" t="n"/>
      <c r="M482" s="45" t="n"/>
      <c r="N482" s="45" t="n"/>
      <c r="O482" s="45" t="n"/>
      <c r="P482" s="45" t="n"/>
      <c r="Q482" s="45" t="n"/>
      <c r="R482" s="29" t="n"/>
      <c r="S482" s="29" t="n"/>
      <c r="T482" s="42">
        <f>IF(OR(L482="",M482=""),"",IFERROR(Settings!$B$3*Settings!$B$5,0))</f>
        <v/>
      </c>
      <c r="U482" s="42">
        <f>IF(OR(L482="",M482="",R482=""),"",ABS(L482-M482)*R482*IF(S482="",1,S482))</f>
        <v/>
      </c>
      <c r="V482" s="26">
        <f>IFERROR(ABS(N482-L482)/ABS(L482-M482),"")</f>
        <v/>
      </c>
      <c r="W482" s="29" t="n"/>
      <c r="X482" s="29" t="n"/>
      <c r="Y482" s="29" t="n"/>
      <c r="Z482" s="29" t="n"/>
      <c r="AA482" s="29" t="n"/>
      <c r="AB482" s="29" t="n"/>
      <c r="AC482" s="29" t="n"/>
      <c r="AD482" s="42">
        <f>IF(OR(L482="",Q482="",R482=""),"",IF(H482="Long",(Q482-L482)*R482*IF(S482="",1,S482),(L482-Q482)*R482*IF(S482="",1,S482)))</f>
        <v/>
      </c>
      <c r="AE482" s="45" t="n"/>
      <c r="AF482" s="45" t="n"/>
      <c r="AG482" s="42">
        <f>IF(AD482="","",AD482-IF(AE482="",0,AE482)-IF(AF482="",0,AF482))</f>
        <v/>
      </c>
      <c r="AH482" s="26">
        <f>IFERROR(AG482/U482,"")</f>
        <v/>
      </c>
      <c r="AI482" s="29" t="n"/>
      <c r="AJ482" s="29" t="n"/>
      <c r="AK482" s="29" t="n"/>
      <c r="AL482" s="29" t="n"/>
    </row>
    <row r="483">
      <c r="A483" s="20">
        <f>IF(B483="","","TR-"&amp;TEXT(ROW()-2,"0000"))</f>
        <v/>
      </c>
      <c r="B483" s="39" t="n"/>
      <c r="C483" s="40" t="n"/>
      <c r="D483" s="40" t="n"/>
      <c r="E483" s="23" t="n"/>
      <c r="F483" s="23" t="n"/>
      <c r="G483" s="23" t="n"/>
      <c r="H483" s="23" t="n"/>
      <c r="I483" s="23" t="n"/>
      <c r="J483" s="23" t="n"/>
      <c r="K483" s="23" t="n"/>
      <c r="L483" s="41" t="n"/>
      <c r="M483" s="41" t="n"/>
      <c r="N483" s="41" t="n"/>
      <c r="O483" s="41" t="n"/>
      <c r="P483" s="41" t="n"/>
      <c r="Q483" s="41" t="n"/>
      <c r="R483" s="23" t="n"/>
      <c r="S483" s="23" t="n"/>
      <c r="T483" s="42">
        <f>IF(OR(L483="",M483=""),"",IFERROR(Settings!$B$3*Settings!$B$5,0))</f>
        <v/>
      </c>
      <c r="U483" s="42">
        <f>IF(OR(L483="",M483="",R483=""),"",ABS(L483-M483)*R483*IF(S483="",1,S483))</f>
        <v/>
      </c>
      <c r="V483" s="26">
        <f>IFERROR(ABS(N483-L483)/ABS(L483-M483),"")</f>
        <v/>
      </c>
      <c r="W483" s="23" t="n"/>
      <c r="X483" s="23" t="n"/>
      <c r="Y483" s="23" t="n"/>
      <c r="Z483" s="23" t="n"/>
      <c r="AA483" s="23" t="n"/>
      <c r="AB483" s="23" t="n"/>
      <c r="AC483" s="23" t="n"/>
      <c r="AD483" s="42">
        <f>IF(OR(L483="",Q483="",R483=""),"",IF(H483="Long",(Q483-L483)*R483*IF(S483="",1,S483),(L483-Q483)*R483*IF(S483="",1,S483)))</f>
        <v/>
      </c>
      <c r="AE483" s="41" t="n"/>
      <c r="AF483" s="41" t="n"/>
      <c r="AG483" s="42">
        <f>IF(AD483="","",AD483-IF(AE483="",0,AE483)-IF(AF483="",0,AF483))</f>
        <v/>
      </c>
      <c r="AH483" s="26">
        <f>IFERROR(AG483/U483,"")</f>
        <v/>
      </c>
      <c r="AI483" s="23" t="n"/>
      <c r="AJ483" s="23" t="n"/>
      <c r="AK483" s="23" t="n"/>
      <c r="AL483" s="23" t="n"/>
    </row>
    <row r="484">
      <c r="A484" s="20">
        <f>IF(B484="","","TR-"&amp;TEXT(ROW()-2,"0000"))</f>
        <v/>
      </c>
      <c r="B484" s="43" t="n"/>
      <c r="C484" s="44" t="n"/>
      <c r="D484" s="44" t="n"/>
      <c r="E484" s="29" t="n"/>
      <c r="F484" s="29" t="n"/>
      <c r="G484" s="29" t="n"/>
      <c r="H484" s="29" t="n"/>
      <c r="I484" s="29" t="n"/>
      <c r="J484" s="29" t="n"/>
      <c r="K484" s="29" t="n"/>
      <c r="L484" s="45" t="n"/>
      <c r="M484" s="45" t="n"/>
      <c r="N484" s="45" t="n"/>
      <c r="O484" s="45" t="n"/>
      <c r="P484" s="45" t="n"/>
      <c r="Q484" s="45" t="n"/>
      <c r="R484" s="29" t="n"/>
      <c r="S484" s="29" t="n"/>
      <c r="T484" s="42">
        <f>IF(OR(L484="",M484=""),"",IFERROR(Settings!$B$3*Settings!$B$5,0))</f>
        <v/>
      </c>
      <c r="U484" s="42">
        <f>IF(OR(L484="",M484="",R484=""),"",ABS(L484-M484)*R484*IF(S484="",1,S484))</f>
        <v/>
      </c>
      <c r="V484" s="26">
        <f>IFERROR(ABS(N484-L484)/ABS(L484-M484),"")</f>
        <v/>
      </c>
      <c r="W484" s="29" t="n"/>
      <c r="X484" s="29" t="n"/>
      <c r="Y484" s="29" t="n"/>
      <c r="Z484" s="29" t="n"/>
      <c r="AA484" s="29" t="n"/>
      <c r="AB484" s="29" t="n"/>
      <c r="AC484" s="29" t="n"/>
      <c r="AD484" s="42">
        <f>IF(OR(L484="",Q484="",R484=""),"",IF(H484="Long",(Q484-L484)*R484*IF(S484="",1,S484),(L484-Q484)*R484*IF(S484="",1,S484)))</f>
        <v/>
      </c>
      <c r="AE484" s="45" t="n"/>
      <c r="AF484" s="45" t="n"/>
      <c r="AG484" s="42">
        <f>IF(AD484="","",AD484-IF(AE484="",0,AE484)-IF(AF484="",0,AF484))</f>
        <v/>
      </c>
      <c r="AH484" s="26">
        <f>IFERROR(AG484/U484,"")</f>
        <v/>
      </c>
      <c r="AI484" s="29" t="n"/>
      <c r="AJ484" s="29" t="n"/>
      <c r="AK484" s="29" t="n"/>
      <c r="AL484" s="29" t="n"/>
    </row>
    <row r="485">
      <c r="A485" s="20">
        <f>IF(B485="","","TR-"&amp;TEXT(ROW()-2,"0000"))</f>
        <v/>
      </c>
      <c r="B485" s="39" t="n"/>
      <c r="C485" s="40" t="n"/>
      <c r="D485" s="40" t="n"/>
      <c r="E485" s="23" t="n"/>
      <c r="F485" s="23" t="n"/>
      <c r="G485" s="23" t="n"/>
      <c r="H485" s="23" t="n"/>
      <c r="I485" s="23" t="n"/>
      <c r="J485" s="23" t="n"/>
      <c r="K485" s="23" t="n"/>
      <c r="L485" s="41" t="n"/>
      <c r="M485" s="41" t="n"/>
      <c r="N485" s="41" t="n"/>
      <c r="O485" s="41" t="n"/>
      <c r="P485" s="41" t="n"/>
      <c r="Q485" s="41" t="n"/>
      <c r="R485" s="23" t="n"/>
      <c r="S485" s="23" t="n"/>
      <c r="T485" s="42">
        <f>IF(OR(L485="",M485=""),"",IFERROR(Settings!$B$3*Settings!$B$5,0))</f>
        <v/>
      </c>
      <c r="U485" s="42">
        <f>IF(OR(L485="",M485="",R485=""),"",ABS(L485-M485)*R485*IF(S485="",1,S485))</f>
        <v/>
      </c>
      <c r="V485" s="26">
        <f>IFERROR(ABS(N485-L485)/ABS(L485-M485),"")</f>
        <v/>
      </c>
      <c r="W485" s="23" t="n"/>
      <c r="X485" s="23" t="n"/>
      <c r="Y485" s="23" t="n"/>
      <c r="Z485" s="23" t="n"/>
      <c r="AA485" s="23" t="n"/>
      <c r="AB485" s="23" t="n"/>
      <c r="AC485" s="23" t="n"/>
      <c r="AD485" s="42">
        <f>IF(OR(L485="",Q485="",R485=""),"",IF(H485="Long",(Q485-L485)*R485*IF(S485="",1,S485),(L485-Q485)*R485*IF(S485="",1,S485)))</f>
        <v/>
      </c>
      <c r="AE485" s="41" t="n"/>
      <c r="AF485" s="41" t="n"/>
      <c r="AG485" s="42">
        <f>IF(AD485="","",AD485-IF(AE485="",0,AE485)-IF(AF485="",0,AF485))</f>
        <v/>
      </c>
      <c r="AH485" s="26">
        <f>IFERROR(AG485/U485,"")</f>
        <v/>
      </c>
      <c r="AI485" s="23" t="n"/>
      <c r="AJ485" s="23" t="n"/>
      <c r="AK485" s="23" t="n"/>
      <c r="AL485" s="23" t="n"/>
    </row>
    <row r="486">
      <c r="A486" s="20">
        <f>IF(B486="","","TR-"&amp;TEXT(ROW()-2,"0000"))</f>
        <v/>
      </c>
      <c r="B486" s="43" t="n"/>
      <c r="C486" s="44" t="n"/>
      <c r="D486" s="44" t="n"/>
      <c r="E486" s="29" t="n"/>
      <c r="F486" s="29" t="n"/>
      <c r="G486" s="29" t="n"/>
      <c r="H486" s="29" t="n"/>
      <c r="I486" s="29" t="n"/>
      <c r="J486" s="29" t="n"/>
      <c r="K486" s="29" t="n"/>
      <c r="L486" s="45" t="n"/>
      <c r="M486" s="45" t="n"/>
      <c r="N486" s="45" t="n"/>
      <c r="O486" s="45" t="n"/>
      <c r="P486" s="45" t="n"/>
      <c r="Q486" s="45" t="n"/>
      <c r="R486" s="29" t="n"/>
      <c r="S486" s="29" t="n"/>
      <c r="T486" s="42">
        <f>IF(OR(L486="",M486=""),"",IFERROR(Settings!$B$3*Settings!$B$5,0))</f>
        <v/>
      </c>
      <c r="U486" s="42">
        <f>IF(OR(L486="",M486="",R486=""),"",ABS(L486-M486)*R486*IF(S486="",1,S486))</f>
        <v/>
      </c>
      <c r="V486" s="26">
        <f>IFERROR(ABS(N486-L486)/ABS(L486-M486),"")</f>
        <v/>
      </c>
      <c r="W486" s="29" t="n"/>
      <c r="X486" s="29" t="n"/>
      <c r="Y486" s="29" t="n"/>
      <c r="Z486" s="29" t="n"/>
      <c r="AA486" s="29" t="n"/>
      <c r="AB486" s="29" t="n"/>
      <c r="AC486" s="29" t="n"/>
      <c r="AD486" s="42">
        <f>IF(OR(L486="",Q486="",R486=""),"",IF(H486="Long",(Q486-L486)*R486*IF(S486="",1,S486),(L486-Q486)*R486*IF(S486="",1,S486)))</f>
        <v/>
      </c>
      <c r="AE486" s="45" t="n"/>
      <c r="AF486" s="45" t="n"/>
      <c r="AG486" s="42">
        <f>IF(AD486="","",AD486-IF(AE486="",0,AE486)-IF(AF486="",0,AF486))</f>
        <v/>
      </c>
      <c r="AH486" s="26">
        <f>IFERROR(AG486/U486,"")</f>
        <v/>
      </c>
      <c r="AI486" s="29" t="n"/>
      <c r="AJ486" s="29" t="n"/>
      <c r="AK486" s="29" t="n"/>
      <c r="AL486" s="29" t="n"/>
    </row>
    <row r="487">
      <c r="A487" s="20">
        <f>IF(B487="","","TR-"&amp;TEXT(ROW()-2,"0000"))</f>
        <v/>
      </c>
      <c r="B487" s="39" t="n"/>
      <c r="C487" s="40" t="n"/>
      <c r="D487" s="40" t="n"/>
      <c r="E487" s="23" t="n"/>
      <c r="F487" s="23" t="n"/>
      <c r="G487" s="23" t="n"/>
      <c r="H487" s="23" t="n"/>
      <c r="I487" s="23" t="n"/>
      <c r="J487" s="23" t="n"/>
      <c r="K487" s="23" t="n"/>
      <c r="L487" s="41" t="n"/>
      <c r="M487" s="41" t="n"/>
      <c r="N487" s="41" t="n"/>
      <c r="O487" s="41" t="n"/>
      <c r="P487" s="41" t="n"/>
      <c r="Q487" s="41" t="n"/>
      <c r="R487" s="23" t="n"/>
      <c r="S487" s="23" t="n"/>
      <c r="T487" s="42">
        <f>IF(OR(L487="",M487=""),"",IFERROR(Settings!$B$3*Settings!$B$5,0))</f>
        <v/>
      </c>
      <c r="U487" s="42">
        <f>IF(OR(L487="",M487="",R487=""),"",ABS(L487-M487)*R487*IF(S487="",1,S487))</f>
        <v/>
      </c>
      <c r="V487" s="26">
        <f>IFERROR(ABS(N487-L487)/ABS(L487-M487),"")</f>
        <v/>
      </c>
      <c r="W487" s="23" t="n"/>
      <c r="X487" s="23" t="n"/>
      <c r="Y487" s="23" t="n"/>
      <c r="Z487" s="23" t="n"/>
      <c r="AA487" s="23" t="n"/>
      <c r="AB487" s="23" t="n"/>
      <c r="AC487" s="23" t="n"/>
      <c r="AD487" s="42">
        <f>IF(OR(L487="",Q487="",R487=""),"",IF(H487="Long",(Q487-L487)*R487*IF(S487="",1,S487),(L487-Q487)*R487*IF(S487="",1,S487)))</f>
        <v/>
      </c>
      <c r="AE487" s="41" t="n"/>
      <c r="AF487" s="41" t="n"/>
      <c r="AG487" s="42">
        <f>IF(AD487="","",AD487-IF(AE487="",0,AE487)-IF(AF487="",0,AF487))</f>
        <v/>
      </c>
      <c r="AH487" s="26">
        <f>IFERROR(AG487/U487,"")</f>
        <v/>
      </c>
      <c r="AI487" s="23" t="n"/>
      <c r="AJ487" s="23" t="n"/>
      <c r="AK487" s="23" t="n"/>
      <c r="AL487" s="23" t="n"/>
    </row>
    <row r="488">
      <c r="A488" s="20">
        <f>IF(B488="","","TR-"&amp;TEXT(ROW()-2,"0000"))</f>
        <v/>
      </c>
      <c r="B488" s="43" t="n"/>
      <c r="C488" s="44" t="n"/>
      <c r="D488" s="44" t="n"/>
      <c r="E488" s="29" t="n"/>
      <c r="F488" s="29" t="n"/>
      <c r="G488" s="29" t="n"/>
      <c r="H488" s="29" t="n"/>
      <c r="I488" s="29" t="n"/>
      <c r="J488" s="29" t="n"/>
      <c r="K488" s="29" t="n"/>
      <c r="L488" s="45" t="n"/>
      <c r="M488" s="45" t="n"/>
      <c r="N488" s="45" t="n"/>
      <c r="O488" s="45" t="n"/>
      <c r="P488" s="45" t="n"/>
      <c r="Q488" s="45" t="n"/>
      <c r="R488" s="29" t="n"/>
      <c r="S488" s="29" t="n"/>
      <c r="T488" s="42">
        <f>IF(OR(L488="",M488=""),"",IFERROR(Settings!$B$3*Settings!$B$5,0))</f>
        <v/>
      </c>
      <c r="U488" s="42">
        <f>IF(OR(L488="",M488="",R488=""),"",ABS(L488-M488)*R488*IF(S488="",1,S488))</f>
        <v/>
      </c>
      <c r="V488" s="26">
        <f>IFERROR(ABS(N488-L488)/ABS(L488-M488),"")</f>
        <v/>
      </c>
      <c r="W488" s="29" t="n"/>
      <c r="X488" s="29" t="n"/>
      <c r="Y488" s="29" t="n"/>
      <c r="Z488" s="29" t="n"/>
      <c r="AA488" s="29" t="n"/>
      <c r="AB488" s="29" t="n"/>
      <c r="AC488" s="29" t="n"/>
      <c r="AD488" s="42">
        <f>IF(OR(L488="",Q488="",R488=""),"",IF(H488="Long",(Q488-L488)*R488*IF(S488="",1,S488),(L488-Q488)*R488*IF(S488="",1,S488)))</f>
        <v/>
      </c>
      <c r="AE488" s="45" t="n"/>
      <c r="AF488" s="45" t="n"/>
      <c r="AG488" s="42">
        <f>IF(AD488="","",AD488-IF(AE488="",0,AE488)-IF(AF488="",0,AF488))</f>
        <v/>
      </c>
      <c r="AH488" s="26">
        <f>IFERROR(AG488/U488,"")</f>
        <v/>
      </c>
      <c r="AI488" s="29" t="n"/>
      <c r="AJ488" s="29" t="n"/>
      <c r="AK488" s="29" t="n"/>
      <c r="AL488" s="29" t="n"/>
    </row>
    <row r="489">
      <c r="A489" s="20">
        <f>IF(B489="","","TR-"&amp;TEXT(ROW()-2,"0000"))</f>
        <v/>
      </c>
      <c r="B489" s="39" t="n"/>
      <c r="C489" s="40" t="n"/>
      <c r="D489" s="40" t="n"/>
      <c r="E489" s="23" t="n"/>
      <c r="F489" s="23" t="n"/>
      <c r="G489" s="23" t="n"/>
      <c r="H489" s="23" t="n"/>
      <c r="I489" s="23" t="n"/>
      <c r="J489" s="23" t="n"/>
      <c r="K489" s="23" t="n"/>
      <c r="L489" s="41" t="n"/>
      <c r="M489" s="41" t="n"/>
      <c r="N489" s="41" t="n"/>
      <c r="O489" s="41" t="n"/>
      <c r="P489" s="41" t="n"/>
      <c r="Q489" s="41" t="n"/>
      <c r="R489" s="23" t="n"/>
      <c r="S489" s="23" t="n"/>
      <c r="T489" s="42">
        <f>IF(OR(L489="",M489=""),"",IFERROR(Settings!$B$3*Settings!$B$5,0))</f>
        <v/>
      </c>
      <c r="U489" s="42">
        <f>IF(OR(L489="",M489="",R489=""),"",ABS(L489-M489)*R489*IF(S489="",1,S489))</f>
        <v/>
      </c>
      <c r="V489" s="26">
        <f>IFERROR(ABS(N489-L489)/ABS(L489-M489),"")</f>
        <v/>
      </c>
      <c r="W489" s="23" t="n"/>
      <c r="X489" s="23" t="n"/>
      <c r="Y489" s="23" t="n"/>
      <c r="Z489" s="23" t="n"/>
      <c r="AA489" s="23" t="n"/>
      <c r="AB489" s="23" t="n"/>
      <c r="AC489" s="23" t="n"/>
      <c r="AD489" s="42">
        <f>IF(OR(L489="",Q489="",R489=""),"",IF(H489="Long",(Q489-L489)*R489*IF(S489="",1,S489),(L489-Q489)*R489*IF(S489="",1,S489)))</f>
        <v/>
      </c>
      <c r="AE489" s="41" t="n"/>
      <c r="AF489" s="41" t="n"/>
      <c r="AG489" s="42">
        <f>IF(AD489="","",AD489-IF(AE489="",0,AE489)-IF(AF489="",0,AF489))</f>
        <v/>
      </c>
      <c r="AH489" s="26">
        <f>IFERROR(AG489/U489,"")</f>
        <v/>
      </c>
      <c r="AI489" s="23" t="n"/>
      <c r="AJ489" s="23" t="n"/>
      <c r="AK489" s="23" t="n"/>
      <c r="AL489" s="23" t="n"/>
    </row>
    <row r="490">
      <c r="A490" s="20">
        <f>IF(B490="","","TR-"&amp;TEXT(ROW()-2,"0000"))</f>
        <v/>
      </c>
      <c r="B490" s="43" t="n"/>
      <c r="C490" s="44" t="n"/>
      <c r="D490" s="44" t="n"/>
      <c r="E490" s="29" t="n"/>
      <c r="F490" s="29" t="n"/>
      <c r="G490" s="29" t="n"/>
      <c r="H490" s="29" t="n"/>
      <c r="I490" s="29" t="n"/>
      <c r="J490" s="29" t="n"/>
      <c r="K490" s="29" t="n"/>
      <c r="L490" s="45" t="n"/>
      <c r="M490" s="45" t="n"/>
      <c r="N490" s="45" t="n"/>
      <c r="O490" s="45" t="n"/>
      <c r="P490" s="45" t="n"/>
      <c r="Q490" s="45" t="n"/>
      <c r="R490" s="29" t="n"/>
      <c r="S490" s="29" t="n"/>
      <c r="T490" s="42">
        <f>IF(OR(L490="",M490=""),"",IFERROR(Settings!$B$3*Settings!$B$5,0))</f>
        <v/>
      </c>
      <c r="U490" s="42">
        <f>IF(OR(L490="",M490="",R490=""),"",ABS(L490-M490)*R490*IF(S490="",1,S490))</f>
        <v/>
      </c>
      <c r="V490" s="26">
        <f>IFERROR(ABS(N490-L490)/ABS(L490-M490),"")</f>
        <v/>
      </c>
      <c r="W490" s="29" t="n"/>
      <c r="X490" s="29" t="n"/>
      <c r="Y490" s="29" t="n"/>
      <c r="Z490" s="29" t="n"/>
      <c r="AA490" s="29" t="n"/>
      <c r="AB490" s="29" t="n"/>
      <c r="AC490" s="29" t="n"/>
      <c r="AD490" s="42">
        <f>IF(OR(L490="",Q490="",R490=""),"",IF(H490="Long",(Q490-L490)*R490*IF(S490="",1,S490),(L490-Q490)*R490*IF(S490="",1,S490)))</f>
        <v/>
      </c>
      <c r="AE490" s="45" t="n"/>
      <c r="AF490" s="45" t="n"/>
      <c r="AG490" s="42">
        <f>IF(AD490="","",AD490-IF(AE490="",0,AE490)-IF(AF490="",0,AF490))</f>
        <v/>
      </c>
      <c r="AH490" s="26">
        <f>IFERROR(AG490/U490,"")</f>
        <v/>
      </c>
      <c r="AI490" s="29" t="n"/>
      <c r="AJ490" s="29" t="n"/>
      <c r="AK490" s="29" t="n"/>
      <c r="AL490" s="29" t="n"/>
    </row>
    <row r="491">
      <c r="A491" s="20">
        <f>IF(B491="","","TR-"&amp;TEXT(ROW()-2,"0000"))</f>
        <v/>
      </c>
      <c r="B491" s="39" t="n"/>
      <c r="C491" s="40" t="n"/>
      <c r="D491" s="40" t="n"/>
      <c r="E491" s="23" t="n"/>
      <c r="F491" s="23" t="n"/>
      <c r="G491" s="23" t="n"/>
      <c r="H491" s="23" t="n"/>
      <c r="I491" s="23" t="n"/>
      <c r="J491" s="23" t="n"/>
      <c r="K491" s="23" t="n"/>
      <c r="L491" s="41" t="n"/>
      <c r="M491" s="41" t="n"/>
      <c r="N491" s="41" t="n"/>
      <c r="O491" s="41" t="n"/>
      <c r="P491" s="41" t="n"/>
      <c r="Q491" s="41" t="n"/>
      <c r="R491" s="23" t="n"/>
      <c r="S491" s="23" t="n"/>
      <c r="T491" s="42">
        <f>IF(OR(L491="",M491=""),"",IFERROR(Settings!$B$3*Settings!$B$5,0))</f>
        <v/>
      </c>
      <c r="U491" s="42">
        <f>IF(OR(L491="",M491="",R491=""),"",ABS(L491-M491)*R491*IF(S491="",1,S491))</f>
        <v/>
      </c>
      <c r="V491" s="26">
        <f>IFERROR(ABS(N491-L491)/ABS(L491-M491),"")</f>
        <v/>
      </c>
      <c r="W491" s="23" t="n"/>
      <c r="X491" s="23" t="n"/>
      <c r="Y491" s="23" t="n"/>
      <c r="Z491" s="23" t="n"/>
      <c r="AA491" s="23" t="n"/>
      <c r="AB491" s="23" t="n"/>
      <c r="AC491" s="23" t="n"/>
      <c r="AD491" s="42">
        <f>IF(OR(L491="",Q491="",R491=""),"",IF(H491="Long",(Q491-L491)*R491*IF(S491="",1,S491),(L491-Q491)*R491*IF(S491="",1,S491)))</f>
        <v/>
      </c>
      <c r="AE491" s="41" t="n"/>
      <c r="AF491" s="41" t="n"/>
      <c r="AG491" s="42">
        <f>IF(AD491="","",AD491-IF(AE491="",0,AE491)-IF(AF491="",0,AF491))</f>
        <v/>
      </c>
      <c r="AH491" s="26">
        <f>IFERROR(AG491/U491,"")</f>
        <v/>
      </c>
      <c r="AI491" s="23" t="n"/>
      <c r="AJ491" s="23" t="n"/>
      <c r="AK491" s="23" t="n"/>
      <c r="AL491" s="23" t="n"/>
    </row>
    <row r="492">
      <c r="A492" s="20">
        <f>IF(B492="","","TR-"&amp;TEXT(ROW()-2,"0000"))</f>
        <v/>
      </c>
      <c r="B492" s="43" t="n"/>
      <c r="C492" s="44" t="n"/>
      <c r="D492" s="44" t="n"/>
      <c r="E492" s="29" t="n"/>
      <c r="F492" s="29" t="n"/>
      <c r="G492" s="29" t="n"/>
      <c r="H492" s="29" t="n"/>
      <c r="I492" s="29" t="n"/>
      <c r="J492" s="29" t="n"/>
      <c r="K492" s="29" t="n"/>
      <c r="L492" s="45" t="n"/>
      <c r="M492" s="45" t="n"/>
      <c r="N492" s="45" t="n"/>
      <c r="O492" s="45" t="n"/>
      <c r="P492" s="45" t="n"/>
      <c r="Q492" s="45" t="n"/>
      <c r="R492" s="29" t="n"/>
      <c r="S492" s="29" t="n"/>
      <c r="T492" s="42">
        <f>IF(OR(L492="",M492=""),"",IFERROR(Settings!$B$3*Settings!$B$5,0))</f>
        <v/>
      </c>
      <c r="U492" s="42">
        <f>IF(OR(L492="",M492="",R492=""),"",ABS(L492-M492)*R492*IF(S492="",1,S492))</f>
        <v/>
      </c>
      <c r="V492" s="26">
        <f>IFERROR(ABS(N492-L492)/ABS(L492-M492),"")</f>
        <v/>
      </c>
      <c r="W492" s="29" t="n"/>
      <c r="X492" s="29" t="n"/>
      <c r="Y492" s="29" t="n"/>
      <c r="Z492" s="29" t="n"/>
      <c r="AA492" s="29" t="n"/>
      <c r="AB492" s="29" t="n"/>
      <c r="AC492" s="29" t="n"/>
      <c r="AD492" s="42">
        <f>IF(OR(L492="",Q492="",R492=""),"",IF(H492="Long",(Q492-L492)*R492*IF(S492="",1,S492),(L492-Q492)*R492*IF(S492="",1,S492)))</f>
        <v/>
      </c>
      <c r="AE492" s="45" t="n"/>
      <c r="AF492" s="45" t="n"/>
      <c r="AG492" s="42">
        <f>IF(AD492="","",AD492-IF(AE492="",0,AE492)-IF(AF492="",0,AF492))</f>
        <v/>
      </c>
      <c r="AH492" s="26">
        <f>IFERROR(AG492/U492,"")</f>
        <v/>
      </c>
      <c r="AI492" s="29" t="n"/>
      <c r="AJ492" s="29" t="n"/>
      <c r="AK492" s="29" t="n"/>
      <c r="AL492" s="29" t="n"/>
    </row>
    <row r="493">
      <c r="A493" s="20">
        <f>IF(B493="","","TR-"&amp;TEXT(ROW()-2,"0000"))</f>
        <v/>
      </c>
      <c r="B493" s="39" t="n"/>
      <c r="C493" s="40" t="n"/>
      <c r="D493" s="40" t="n"/>
      <c r="E493" s="23" t="n"/>
      <c r="F493" s="23" t="n"/>
      <c r="G493" s="23" t="n"/>
      <c r="H493" s="23" t="n"/>
      <c r="I493" s="23" t="n"/>
      <c r="J493" s="23" t="n"/>
      <c r="K493" s="23" t="n"/>
      <c r="L493" s="41" t="n"/>
      <c r="M493" s="41" t="n"/>
      <c r="N493" s="41" t="n"/>
      <c r="O493" s="41" t="n"/>
      <c r="P493" s="41" t="n"/>
      <c r="Q493" s="41" t="n"/>
      <c r="R493" s="23" t="n"/>
      <c r="S493" s="23" t="n"/>
      <c r="T493" s="42">
        <f>IF(OR(L493="",M493=""),"",IFERROR(Settings!$B$3*Settings!$B$5,0))</f>
        <v/>
      </c>
      <c r="U493" s="42">
        <f>IF(OR(L493="",M493="",R493=""),"",ABS(L493-M493)*R493*IF(S493="",1,S493))</f>
        <v/>
      </c>
      <c r="V493" s="26">
        <f>IFERROR(ABS(N493-L493)/ABS(L493-M493),"")</f>
        <v/>
      </c>
      <c r="W493" s="23" t="n"/>
      <c r="X493" s="23" t="n"/>
      <c r="Y493" s="23" t="n"/>
      <c r="Z493" s="23" t="n"/>
      <c r="AA493" s="23" t="n"/>
      <c r="AB493" s="23" t="n"/>
      <c r="AC493" s="23" t="n"/>
      <c r="AD493" s="42">
        <f>IF(OR(L493="",Q493="",R493=""),"",IF(H493="Long",(Q493-L493)*R493*IF(S493="",1,S493),(L493-Q493)*R493*IF(S493="",1,S493)))</f>
        <v/>
      </c>
      <c r="AE493" s="41" t="n"/>
      <c r="AF493" s="41" t="n"/>
      <c r="AG493" s="42">
        <f>IF(AD493="","",AD493-IF(AE493="",0,AE493)-IF(AF493="",0,AF493))</f>
        <v/>
      </c>
      <c r="AH493" s="26">
        <f>IFERROR(AG493/U493,"")</f>
        <v/>
      </c>
      <c r="AI493" s="23" t="n"/>
      <c r="AJ493" s="23" t="n"/>
      <c r="AK493" s="23" t="n"/>
      <c r="AL493" s="23" t="n"/>
    </row>
    <row r="494">
      <c r="A494" s="20">
        <f>IF(B494="","","TR-"&amp;TEXT(ROW()-2,"0000"))</f>
        <v/>
      </c>
      <c r="B494" s="43" t="n"/>
      <c r="C494" s="44" t="n"/>
      <c r="D494" s="44" t="n"/>
      <c r="E494" s="29" t="n"/>
      <c r="F494" s="29" t="n"/>
      <c r="G494" s="29" t="n"/>
      <c r="H494" s="29" t="n"/>
      <c r="I494" s="29" t="n"/>
      <c r="J494" s="29" t="n"/>
      <c r="K494" s="29" t="n"/>
      <c r="L494" s="45" t="n"/>
      <c r="M494" s="45" t="n"/>
      <c r="N494" s="45" t="n"/>
      <c r="O494" s="45" t="n"/>
      <c r="P494" s="45" t="n"/>
      <c r="Q494" s="45" t="n"/>
      <c r="R494" s="29" t="n"/>
      <c r="S494" s="29" t="n"/>
      <c r="T494" s="42">
        <f>IF(OR(L494="",M494=""),"",IFERROR(Settings!$B$3*Settings!$B$5,0))</f>
        <v/>
      </c>
      <c r="U494" s="42">
        <f>IF(OR(L494="",M494="",R494=""),"",ABS(L494-M494)*R494*IF(S494="",1,S494))</f>
        <v/>
      </c>
      <c r="V494" s="26">
        <f>IFERROR(ABS(N494-L494)/ABS(L494-M494),"")</f>
        <v/>
      </c>
      <c r="W494" s="29" t="n"/>
      <c r="X494" s="29" t="n"/>
      <c r="Y494" s="29" t="n"/>
      <c r="Z494" s="29" t="n"/>
      <c r="AA494" s="29" t="n"/>
      <c r="AB494" s="29" t="n"/>
      <c r="AC494" s="29" t="n"/>
      <c r="AD494" s="42">
        <f>IF(OR(L494="",Q494="",R494=""),"",IF(H494="Long",(Q494-L494)*R494*IF(S494="",1,S494),(L494-Q494)*R494*IF(S494="",1,S494)))</f>
        <v/>
      </c>
      <c r="AE494" s="45" t="n"/>
      <c r="AF494" s="45" t="n"/>
      <c r="AG494" s="42">
        <f>IF(AD494="","",AD494-IF(AE494="",0,AE494)-IF(AF494="",0,AF494))</f>
        <v/>
      </c>
      <c r="AH494" s="26">
        <f>IFERROR(AG494/U494,"")</f>
        <v/>
      </c>
      <c r="AI494" s="29" t="n"/>
      <c r="AJ494" s="29" t="n"/>
      <c r="AK494" s="29" t="n"/>
      <c r="AL494" s="29" t="n"/>
    </row>
    <row r="495">
      <c r="A495" s="20">
        <f>IF(B495="","","TR-"&amp;TEXT(ROW()-2,"0000"))</f>
        <v/>
      </c>
      <c r="B495" s="39" t="n"/>
      <c r="C495" s="40" t="n"/>
      <c r="D495" s="40" t="n"/>
      <c r="E495" s="23" t="n"/>
      <c r="F495" s="23" t="n"/>
      <c r="G495" s="23" t="n"/>
      <c r="H495" s="23" t="n"/>
      <c r="I495" s="23" t="n"/>
      <c r="J495" s="23" t="n"/>
      <c r="K495" s="23" t="n"/>
      <c r="L495" s="41" t="n"/>
      <c r="M495" s="41" t="n"/>
      <c r="N495" s="41" t="n"/>
      <c r="O495" s="41" t="n"/>
      <c r="P495" s="41" t="n"/>
      <c r="Q495" s="41" t="n"/>
      <c r="R495" s="23" t="n"/>
      <c r="S495" s="23" t="n"/>
      <c r="T495" s="42">
        <f>IF(OR(L495="",M495=""),"",IFERROR(Settings!$B$3*Settings!$B$5,0))</f>
        <v/>
      </c>
      <c r="U495" s="42">
        <f>IF(OR(L495="",M495="",R495=""),"",ABS(L495-M495)*R495*IF(S495="",1,S495))</f>
        <v/>
      </c>
      <c r="V495" s="26">
        <f>IFERROR(ABS(N495-L495)/ABS(L495-M495),"")</f>
        <v/>
      </c>
      <c r="W495" s="23" t="n"/>
      <c r="X495" s="23" t="n"/>
      <c r="Y495" s="23" t="n"/>
      <c r="Z495" s="23" t="n"/>
      <c r="AA495" s="23" t="n"/>
      <c r="AB495" s="23" t="n"/>
      <c r="AC495" s="23" t="n"/>
      <c r="AD495" s="42">
        <f>IF(OR(L495="",Q495="",R495=""),"",IF(H495="Long",(Q495-L495)*R495*IF(S495="",1,S495),(L495-Q495)*R495*IF(S495="",1,S495)))</f>
        <v/>
      </c>
      <c r="AE495" s="41" t="n"/>
      <c r="AF495" s="41" t="n"/>
      <c r="AG495" s="42">
        <f>IF(AD495="","",AD495-IF(AE495="",0,AE495)-IF(AF495="",0,AF495))</f>
        <v/>
      </c>
      <c r="AH495" s="26">
        <f>IFERROR(AG495/U495,"")</f>
        <v/>
      </c>
      <c r="AI495" s="23" t="n"/>
      <c r="AJ495" s="23" t="n"/>
      <c r="AK495" s="23" t="n"/>
      <c r="AL495" s="23" t="n"/>
    </row>
    <row r="496">
      <c r="A496" s="20">
        <f>IF(B496="","","TR-"&amp;TEXT(ROW()-2,"0000"))</f>
        <v/>
      </c>
      <c r="B496" s="43" t="n"/>
      <c r="C496" s="44" t="n"/>
      <c r="D496" s="44" t="n"/>
      <c r="E496" s="29" t="n"/>
      <c r="F496" s="29" t="n"/>
      <c r="G496" s="29" t="n"/>
      <c r="H496" s="29" t="n"/>
      <c r="I496" s="29" t="n"/>
      <c r="J496" s="29" t="n"/>
      <c r="K496" s="29" t="n"/>
      <c r="L496" s="45" t="n"/>
      <c r="M496" s="45" t="n"/>
      <c r="N496" s="45" t="n"/>
      <c r="O496" s="45" t="n"/>
      <c r="P496" s="45" t="n"/>
      <c r="Q496" s="45" t="n"/>
      <c r="R496" s="29" t="n"/>
      <c r="S496" s="29" t="n"/>
      <c r="T496" s="42">
        <f>IF(OR(L496="",M496=""),"",IFERROR(Settings!$B$3*Settings!$B$5,0))</f>
        <v/>
      </c>
      <c r="U496" s="42">
        <f>IF(OR(L496="",M496="",R496=""),"",ABS(L496-M496)*R496*IF(S496="",1,S496))</f>
        <v/>
      </c>
      <c r="V496" s="26">
        <f>IFERROR(ABS(N496-L496)/ABS(L496-M496),"")</f>
        <v/>
      </c>
      <c r="W496" s="29" t="n"/>
      <c r="X496" s="29" t="n"/>
      <c r="Y496" s="29" t="n"/>
      <c r="Z496" s="29" t="n"/>
      <c r="AA496" s="29" t="n"/>
      <c r="AB496" s="29" t="n"/>
      <c r="AC496" s="29" t="n"/>
      <c r="AD496" s="42">
        <f>IF(OR(L496="",Q496="",R496=""),"",IF(H496="Long",(Q496-L496)*R496*IF(S496="",1,S496),(L496-Q496)*R496*IF(S496="",1,S496)))</f>
        <v/>
      </c>
      <c r="AE496" s="45" t="n"/>
      <c r="AF496" s="45" t="n"/>
      <c r="AG496" s="42">
        <f>IF(AD496="","",AD496-IF(AE496="",0,AE496)-IF(AF496="",0,AF496))</f>
        <v/>
      </c>
      <c r="AH496" s="26">
        <f>IFERROR(AG496/U496,"")</f>
        <v/>
      </c>
      <c r="AI496" s="29" t="n"/>
      <c r="AJ496" s="29" t="n"/>
      <c r="AK496" s="29" t="n"/>
      <c r="AL496" s="29" t="n"/>
    </row>
    <row r="497">
      <c r="A497" s="20">
        <f>IF(B497="","","TR-"&amp;TEXT(ROW()-2,"0000"))</f>
        <v/>
      </c>
      <c r="B497" s="39" t="n"/>
      <c r="C497" s="40" t="n"/>
      <c r="D497" s="40" t="n"/>
      <c r="E497" s="23" t="n"/>
      <c r="F497" s="23" t="n"/>
      <c r="G497" s="23" t="n"/>
      <c r="H497" s="23" t="n"/>
      <c r="I497" s="23" t="n"/>
      <c r="J497" s="23" t="n"/>
      <c r="K497" s="23" t="n"/>
      <c r="L497" s="41" t="n"/>
      <c r="M497" s="41" t="n"/>
      <c r="N497" s="41" t="n"/>
      <c r="O497" s="41" t="n"/>
      <c r="P497" s="41" t="n"/>
      <c r="Q497" s="41" t="n"/>
      <c r="R497" s="23" t="n"/>
      <c r="S497" s="23" t="n"/>
      <c r="T497" s="42">
        <f>IF(OR(L497="",M497=""),"",IFERROR(Settings!$B$3*Settings!$B$5,0))</f>
        <v/>
      </c>
      <c r="U497" s="42">
        <f>IF(OR(L497="",M497="",R497=""),"",ABS(L497-M497)*R497*IF(S497="",1,S497))</f>
        <v/>
      </c>
      <c r="V497" s="26">
        <f>IFERROR(ABS(N497-L497)/ABS(L497-M497),"")</f>
        <v/>
      </c>
      <c r="W497" s="23" t="n"/>
      <c r="X497" s="23" t="n"/>
      <c r="Y497" s="23" t="n"/>
      <c r="Z497" s="23" t="n"/>
      <c r="AA497" s="23" t="n"/>
      <c r="AB497" s="23" t="n"/>
      <c r="AC497" s="23" t="n"/>
      <c r="AD497" s="42">
        <f>IF(OR(L497="",Q497="",R497=""),"",IF(H497="Long",(Q497-L497)*R497*IF(S497="",1,S497),(L497-Q497)*R497*IF(S497="",1,S497)))</f>
        <v/>
      </c>
      <c r="AE497" s="41" t="n"/>
      <c r="AF497" s="41" t="n"/>
      <c r="AG497" s="42">
        <f>IF(AD497="","",AD497-IF(AE497="",0,AE497)-IF(AF497="",0,AF497))</f>
        <v/>
      </c>
      <c r="AH497" s="26">
        <f>IFERROR(AG497/U497,"")</f>
        <v/>
      </c>
      <c r="AI497" s="23" t="n"/>
      <c r="AJ497" s="23" t="n"/>
      <c r="AK497" s="23" t="n"/>
      <c r="AL497" s="23" t="n"/>
    </row>
    <row r="498">
      <c r="A498" s="20">
        <f>IF(B498="","","TR-"&amp;TEXT(ROW()-2,"0000"))</f>
        <v/>
      </c>
      <c r="B498" s="43" t="n"/>
      <c r="C498" s="44" t="n"/>
      <c r="D498" s="44" t="n"/>
      <c r="E498" s="29" t="n"/>
      <c r="F498" s="29" t="n"/>
      <c r="G498" s="29" t="n"/>
      <c r="H498" s="29" t="n"/>
      <c r="I498" s="29" t="n"/>
      <c r="J498" s="29" t="n"/>
      <c r="K498" s="29" t="n"/>
      <c r="L498" s="45" t="n"/>
      <c r="M498" s="45" t="n"/>
      <c r="N498" s="45" t="n"/>
      <c r="O498" s="45" t="n"/>
      <c r="P498" s="45" t="n"/>
      <c r="Q498" s="45" t="n"/>
      <c r="R498" s="29" t="n"/>
      <c r="S498" s="29" t="n"/>
      <c r="T498" s="42">
        <f>IF(OR(L498="",M498=""),"",IFERROR(Settings!$B$3*Settings!$B$5,0))</f>
        <v/>
      </c>
      <c r="U498" s="42">
        <f>IF(OR(L498="",M498="",R498=""),"",ABS(L498-M498)*R498*IF(S498="",1,S498))</f>
        <v/>
      </c>
      <c r="V498" s="26">
        <f>IFERROR(ABS(N498-L498)/ABS(L498-M498),"")</f>
        <v/>
      </c>
      <c r="W498" s="29" t="n"/>
      <c r="X498" s="29" t="n"/>
      <c r="Y498" s="29" t="n"/>
      <c r="Z498" s="29" t="n"/>
      <c r="AA498" s="29" t="n"/>
      <c r="AB498" s="29" t="n"/>
      <c r="AC498" s="29" t="n"/>
      <c r="AD498" s="42">
        <f>IF(OR(L498="",Q498="",R498=""),"",IF(H498="Long",(Q498-L498)*R498*IF(S498="",1,S498),(L498-Q498)*R498*IF(S498="",1,S498)))</f>
        <v/>
      </c>
      <c r="AE498" s="45" t="n"/>
      <c r="AF498" s="45" t="n"/>
      <c r="AG498" s="42">
        <f>IF(AD498="","",AD498-IF(AE498="",0,AE498)-IF(AF498="",0,AF498))</f>
        <v/>
      </c>
      <c r="AH498" s="26">
        <f>IFERROR(AG498/U498,"")</f>
        <v/>
      </c>
      <c r="AI498" s="29" t="n"/>
      <c r="AJ498" s="29" t="n"/>
      <c r="AK498" s="29" t="n"/>
      <c r="AL498" s="29" t="n"/>
    </row>
    <row r="499">
      <c r="A499" s="20">
        <f>IF(B499="","","TR-"&amp;TEXT(ROW()-2,"0000"))</f>
        <v/>
      </c>
      <c r="B499" s="39" t="n"/>
      <c r="C499" s="40" t="n"/>
      <c r="D499" s="40" t="n"/>
      <c r="E499" s="23" t="n"/>
      <c r="F499" s="23" t="n"/>
      <c r="G499" s="23" t="n"/>
      <c r="H499" s="23" t="n"/>
      <c r="I499" s="23" t="n"/>
      <c r="J499" s="23" t="n"/>
      <c r="K499" s="23" t="n"/>
      <c r="L499" s="41" t="n"/>
      <c r="M499" s="41" t="n"/>
      <c r="N499" s="41" t="n"/>
      <c r="O499" s="41" t="n"/>
      <c r="P499" s="41" t="n"/>
      <c r="Q499" s="41" t="n"/>
      <c r="R499" s="23" t="n"/>
      <c r="S499" s="23" t="n"/>
      <c r="T499" s="42">
        <f>IF(OR(L499="",M499=""),"",IFERROR(Settings!$B$3*Settings!$B$5,0))</f>
        <v/>
      </c>
      <c r="U499" s="42">
        <f>IF(OR(L499="",M499="",R499=""),"",ABS(L499-M499)*R499*IF(S499="",1,S499))</f>
        <v/>
      </c>
      <c r="V499" s="26">
        <f>IFERROR(ABS(N499-L499)/ABS(L499-M499),"")</f>
        <v/>
      </c>
      <c r="W499" s="23" t="n"/>
      <c r="X499" s="23" t="n"/>
      <c r="Y499" s="23" t="n"/>
      <c r="Z499" s="23" t="n"/>
      <c r="AA499" s="23" t="n"/>
      <c r="AB499" s="23" t="n"/>
      <c r="AC499" s="23" t="n"/>
      <c r="AD499" s="42">
        <f>IF(OR(L499="",Q499="",R499=""),"",IF(H499="Long",(Q499-L499)*R499*IF(S499="",1,S499),(L499-Q499)*R499*IF(S499="",1,S499)))</f>
        <v/>
      </c>
      <c r="AE499" s="41" t="n"/>
      <c r="AF499" s="41" t="n"/>
      <c r="AG499" s="42">
        <f>IF(AD499="","",AD499-IF(AE499="",0,AE499)-IF(AF499="",0,AF499))</f>
        <v/>
      </c>
      <c r="AH499" s="26">
        <f>IFERROR(AG499/U499,"")</f>
        <v/>
      </c>
      <c r="AI499" s="23" t="n"/>
      <c r="AJ499" s="23" t="n"/>
      <c r="AK499" s="23" t="n"/>
      <c r="AL499" s="23" t="n"/>
    </row>
    <row r="500">
      <c r="A500" s="20">
        <f>IF(B500="","","TR-"&amp;TEXT(ROW()-2,"0000"))</f>
        <v/>
      </c>
      <c r="B500" s="43" t="n"/>
      <c r="C500" s="44" t="n"/>
      <c r="D500" s="44" t="n"/>
      <c r="E500" s="29" t="n"/>
      <c r="F500" s="29" t="n"/>
      <c r="G500" s="29" t="n"/>
      <c r="H500" s="29" t="n"/>
      <c r="I500" s="29" t="n"/>
      <c r="J500" s="29" t="n"/>
      <c r="K500" s="29" t="n"/>
      <c r="L500" s="45" t="n"/>
      <c r="M500" s="45" t="n"/>
      <c r="N500" s="45" t="n"/>
      <c r="O500" s="45" t="n"/>
      <c r="P500" s="45" t="n"/>
      <c r="Q500" s="45" t="n"/>
      <c r="R500" s="29" t="n"/>
      <c r="S500" s="29" t="n"/>
      <c r="T500" s="42">
        <f>IF(OR(L500="",M500=""),"",IFERROR(Settings!$B$3*Settings!$B$5,0))</f>
        <v/>
      </c>
      <c r="U500" s="42">
        <f>IF(OR(L500="",M500="",R500=""),"",ABS(L500-M500)*R500*IF(S500="",1,S500))</f>
        <v/>
      </c>
      <c r="V500" s="26">
        <f>IFERROR(ABS(N500-L500)/ABS(L500-M500),"")</f>
        <v/>
      </c>
      <c r="W500" s="29" t="n"/>
      <c r="X500" s="29" t="n"/>
      <c r="Y500" s="29" t="n"/>
      <c r="Z500" s="29" t="n"/>
      <c r="AA500" s="29" t="n"/>
      <c r="AB500" s="29" t="n"/>
      <c r="AC500" s="29" t="n"/>
      <c r="AD500" s="42">
        <f>IF(OR(L500="",Q500="",R500=""),"",IF(H500="Long",(Q500-L500)*R500*IF(S500="",1,S500),(L500-Q500)*R500*IF(S500="",1,S500)))</f>
        <v/>
      </c>
      <c r="AE500" s="45" t="n"/>
      <c r="AF500" s="45" t="n"/>
      <c r="AG500" s="42">
        <f>IF(AD500="","",AD500-IF(AE500="",0,AE500)-IF(AF500="",0,AF500))</f>
        <v/>
      </c>
      <c r="AH500" s="26">
        <f>IFERROR(AG500/U500,"")</f>
        <v/>
      </c>
      <c r="AI500" s="29" t="n"/>
      <c r="AJ500" s="29" t="n"/>
      <c r="AK500" s="29" t="n"/>
      <c r="AL500" s="29" t="n"/>
    </row>
    <row r="501">
      <c r="A501" s="20">
        <f>IF(B501="","","TR-"&amp;TEXT(ROW()-2,"0000"))</f>
        <v/>
      </c>
      <c r="B501" s="39" t="n"/>
      <c r="C501" s="40" t="n"/>
      <c r="D501" s="40" t="n"/>
      <c r="E501" s="23" t="n"/>
      <c r="F501" s="23" t="n"/>
      <c r="G501" s="23" t="n"/>
      <c r="H501" s="23" t="n"/>
      <c r="I501" s="23" t="n"/>
      <c r="J501" s="23" t="n"/>
      <c r="K501" s="23" t="n"/>
      <c r="L501" s="41" t="n"/>
      <c r="M501" s="41" t="n"/>
      <c r="N501" s="41" t="n"/>
      <c r="O501" s="41" t="n"/>
      <c r="P501" s="41" t="n"/>
      <c r="Q501" s="41" t="n"/>
      <c r="R501" s="23" t="n"/>
      <c r="S501" s="23" t="n"/>
      <c r="T501" s="42">
        <f>IF(OR(L501="",M501=""),"",IFERROR(Settings!$B$3*Settings!$B$5,0))</f>
        <v/>
      </c>
      <c r="U501" s="42">
        <f>IF(OR(L501="",M501="",R501=""),"",ABS(L501-M501)*R501*IF(S501="",1,S501))</f>
        <v/>
      </c>
      <c r="V501" s="26">
        <f>IFERROR(ABS(N501-L501)/ABS(L501-M501),"")</f>
        <v/>
      </c>
      <c r="W501" s="23" t="n"/>
      <c r="X501" s="23" t="n"/>
      <c r="Y501" s="23" t="n"/>
      <c r="Z501" s="23" t="n"/>
      <c r="AA501" s="23" t="n"/>
      <c r="AB501" s="23" t="n"/>
      <c r="AC501" s="23" t="n"/>
      <c r="AD501" s="42">
        <f>IF(OR(L501="",Q501="",R501=""),"",IF(H501="Long",(Q501-L501)*R501*IF(S501="",1,S501),(L501-Q501)*R501*IF(S501="",1,S501)))</f>
        <v/>
      </c>
      <c r="AE501" s="41" t="n"/>
      <c r="AF501" s="41" t="n"/>
      <c r="AG501" s="42">
        <f>IF(AD501="","",AD501-IF(AE501="",0,AE501)-IF(AF501="",0,AF501))</f>
        <v/>
      </c>
      <c r="AH501" s="26">
        <f>IFERROR(AG501/U501,"")</f>
        <v/>
      </c>
      <c r="AI501" s="23" t="n"/>
      <c r="AJ501" s="23" t="n"/>
      <c r="AK501" s="23" t="n"/>
      <c r="AL501" s="23" t="n"/>
    </row>
    <row r="502">
      <c r="A502" s="20">
        <f>IF(B502="","","TR-"&amp;TEXT(ROW()-2,"0000"))</f>
        <v/>
      </c>
      <c r="B502" s="43" t="n"/>
      <c r="C502" s="44" t="n"/>
      <c r="D502" s="44" t="n"/>
      <c r="E502" s="29" t="n"/>
      <c r="F502" s="29" t="n"/>
      <c r="G502" s="29" t="n"/>
      <c r="H502" s="29" t="n"/>
      <c r="I502" s="29" t="n"/>
      <c r="J502" s="29" t="n"/>
      <c r="K502" s="29" t="n"/>
      <c r="L502" s="45" t="n"/>
      <c r="M502" s="45" t="n"/>
      <c r="N502" s="45" t="n"/>
      <c r="O502" s="45" t="n"/>
      <c r="P502" s="45" t="n"/>
      <c r="Q502" s="45" t="n"/>
      <c r="R502" s="29" t="n"/>
      <c r="S502" s="29" t="n"/>
      <c r="T502" s="42">
        <f>IF(OR(L502="",M502=""),"",IFERROR(Settings!$B$3*Settings!$B$5,0))</f>
        <v/>
      </c>
      <c r="U502" s="42">
        <f>IF(OR(L502="",M502="",R502=""),"",ABS(L502-M502)*R502*IF(S502="",1,S502))</f>
        <v/>
      </c>
      <c r="V502" s="26">
        <f>IFERROR(ABS(N502-L502)/ABS(L502-M502),"")</f>
        <v/>
      </c>
      <c r="W502" s="29" t="n"/>
      <c r="X502" s="29" t="n"/>
      <c r="Y502" s="29" t="n"/>
      <c r="Z502" s="29" t="n"/>
      <c r="AA502" s="29" t="n"/>
      <c r="AB502" s="29" t="n"/>
      <c r="AC502" s="29" t="n"/>
      <c r="AD502" s="42">
        <f>IF(OR(L502="",Q502="",R502=""),"",IF(H502="Long",(Q502-L502)*R502*IF(S502="",1,S502),(L502-Q502)*R502*IF(S502="",1,S502)))</f>
        <v/>
      </c>
      <c r="AE502" s="45" t="n"/>
      <c r="AF502" s="45" t="n"/>
      <c r="AG502" s="42">
        <f>IF(AD502="","",AD502-IF(AE502="",0,AE502)-IF(AF502="",0,AF502))</f>
        <v/>
      </c>
      <c r="AH502" s="26">
        <f>IFERROR(AG502/U502,"")</f>
        <v/>
      </c>
      <c r="AI502" s="29" t="n"/>
      <c r="AJ502" s="29" t="n"/>
      <c r="AK502" s="29" t="n"/>
      <c r="AL502" s="29" t="n"/>
    </row>
  </sheetData>
  <autoFilter ref="A2:AL502"/>
  <mergeCells count="1">
    <mergeCell ref="A1:AL1"/>
  </mergeCells>
  <conditionalFormatting sqref="AG3:AG502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6">
    <dataValidation sqref="E3:E502" showDropDown="0" showInputMessage="0" showErrorMessage="0" allowBlank="1" errorTitle="Invalid value" error="Select a value from the dropdown list." type="list">
      <formula1>"Equity Intraday,Index,Options,Futures,Other"</formula1>
    </dataValidation>
    <dataValidation sqref="H3:H502" showDropDown="0" showInputMessage="0" showErrorMessage="0" allowBlank="1" errorTitle="Invalid value" error="Select a value from the dropdown list." type="list">
      <formula1>"Long,Short"</formula1>
    </dataValidation>
    <dataValidation sqref="W3:W502" showDropDown="0" showInputMessage="0" showErrorMessage="0" allowBlank="1" errorTitle="Invalid value" error="Select a value from the dropdown list." type="list">
      <formula1>"Off / Fixed SL,Breakeven,Step Trail,Distance Trail,ATR-style (manual)"</formula1>
    </dataValidation>
    <dataValidation sqref="AB3:AB502" showDropDown="0" showInputMessage="0" showErrorMessage="0" allowBlank="1" errorTitle="Invalid value" error="Select a value from the dropdown list." type="list">
      <formula1>"None,T1,T2,T3,T1+T2,T1+T2+T3"</formula1>
    </dataValidation>
    <dataValidation sqref="AC3:AC502" showDropDown="0" showInputMessage="0" showErrorMessage="0" allowBlank="1" errorTitle="Invalid value" error="Select a value from the dropdown list." type="list">
      <formula1>"SL,TSL,T1,T2,T3,Manual Exit,Time Exit,Breakeven,Cancelled"</formula1>
    </dataValidation>
    <dataValidation sqref="AI3:AI502" showDropDown="0" showInputMessage="0" showErrorMessage="0" allowBlank="1" errorTitle="Invalid value" error="Select a value from the dropdown list." type="list">
      <formula1>"Yes,No,Partial"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13" customWidth="1" min="5" max="5"/>
    <col width="13" customWidth="1" min="6" max="6"/>
    <col width="17" customWidth="1" min="7" max="7"/>
    <col width="19" customWidth="1" min="8" max="8"/>
    <col width="16" customWidth="1" min="9" max="9"/>
    <col width="16" customWidth="1" min="10" max="10"/>
    <col width="16" customWidth="1" min="11" max="11"/>
    <col width="19" customWidth="1" min="12" max="12"/>
    <col width="12" customWidth="1" min="13" max="13"/>
    <col width="12" customWidth="1" min="14" max="14"/>
    <col width="12" customWidth="1" min="15" max="15"/>
    <col width="15" customWidth="1" min="16" max="16"/>
    <col width="15" customWidth="1" min="17" max="17"/>
    <col width="15" customWidth="1" min="18" max="18"/>
    <col width="18" customWidth="1" min="19" max="19"/>
    <col width="30" customWidth="1" min="20" max="20"/>
  </cols>
  <sheetData>
    <row r="1" ht="34" customHeight="1">
      <c r="A1" s="1" t="inlineStr">
        <is>
          <t>TSL LAB • COMPARE EXIT RULES</t>
        </is>
      </c>
    </row>
    <row r="2" ht="32" customHeight="1">
      <c r="A2" s="12" t="inlineStr">
        <is>
          <t>Trade ID</t>
        </is>
      </c>
      <c r="B2" s="12" t="inlineStr">
        <is>
          <t>Date</t>
        </is>
      </c>
      <c r="C2" s="12" t="inlineStr">
        <is>
          <t>Instrument</t>
        </is>
      </c>
      <c r="D2" s="12" t="inlineStr">
        <is>
          <t>Direction</t>
        </is>
      </c>
      <c r="E2" s="12" t="inlineStr">
        <is>
          <t>Entry</t>
        </is>
      </c>
      <c r="F2" s="12" t="inlineStr">
        <is>
          <t>Initial SL</t>
        </is>
      </c>
      <c r="G2" s="12" t="inlineStr">
        <is>
          <t>Initial Risk / Unit</t>
        </is>
      </c>
      <c r="H2" s="12" t="inlineStr">
        <is>
          <t>Favourable Extreme</t>
        </is>
      </c>
      <c r="I2" s="12" t="inlineStr">
        <is>
          <t>Fixed SL Exit</t>
        </is>
      </c>
      <c r="J2" s="12" t="inlineStr">
        <is>
          <t>Breakeven Exit</t>
        </is>
      </c>
      <c r="K2" s="12" t="inlineStr">
        <is>
          <t>Step Trail Exit</t>
        </is>
      </c>
      <c r="L2" s="12" t="inlineStr">
        <is>
          <t>Distance Trail Exit</t>
        </is>
      </c>
      <c r="M2" s="12" t="inlineStr">
        <is>
          <t>T1 Hit?</t>
        </is>
      </c>
      <c r="N2" s="12" t="inlineStr">
        <is>
          <t>T2 Hit?</t>
        </is>
      </c>
      <c r="O2" s="12" t="inlineStr">
        <is>
          <t>T3 Hit?</t>
        </is>
      </c>
      <c r="P2" s="12" t="inlineStr">
        <is>
          <t>Fixed P&amp;L</t>
        </is>
      </c>
      <c r="Q2" s="12" t="inlineStr">
        <is>
          <t>BE P&amp;L</t>
        </is>
      </c>
      <c r="R2" s="12" t="inlineStr">
        <is>
          <t>Step P&amp;L</t>
        </is>
      </c>
      <c r="S2" s="12" t="inlineStr">
        <is>
          <t>Distance P&amp;L</t>
        </is>
      </c>
      <c r="T2" s="12" t="inlineStr">
        <is>
          <t>Notes</t>
        </is>
      </c>
    </row>
    <row r="3">
      <c r="A3" s="31">
        <f>IF(B3="","","TSL-"&amp;TEXT(ROW()-2,"0000"))</f>
        <v/>
      </c>
      <c r="B3" s="23" t="n"/>
      <c r="C3" s="23" t="n"/>
      <c r="D3" s="23" t="n"/>
      <c r="E3" s="23" t="n"/>
      <c r="F3" s="23" t="n"/>
      <c r="G3" s="31">
        <f>IF(OR(E3="",F3=""),"",ABS(E3-F3))</f>
        <v/>
      </c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</row>
    <row r="4">
      <c r="A4" s="32">
        <f>IF(B4="","","TSL-"&amp;TEXT(ROW()-2,"0000"))</f>
        <v/>
      </c>
      <c r="B4" s="29" t="n"/>
      <c r="C4" s="29" t="n"/>
      <c r="D4" s="29" t="n"/>
      <c r="E4" s="29" t="n"/>
      <c r="F4" s="29" t="n"/>
      <c r="G4" s="32">
        <f>IF(OR(E4="",F4=""),"",ABS(E4-F4))</f>
        <v/>
      </c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</row>
    <row r="5">
      <c r="A5" s="31">
        <f>IF(B5="","","TSL-"&amp;TEXT(ROW()-2,"0000"))</f>
        <v/>
      </c>
      <c r="B5" s="23" t="n"/>
      <c r="C5" s="23" t="n"/>
      <c r="D5" s="23" t="n"/>
      <c r="E5" s="23" t="n"/>
      <c r="F5" s="23" t="n"/>
      <c r="G5" s="31">
        <f>IF(OR(E5="",F5=""),"",ABS(E5-F5))</f>
        <v/>
      </c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</row>
    <row r="6">
      <c r="A6" s="32">
        <f>IF(B6="","","TSL-"&amp;TEXT(ROW()-2,"0000"))</f>
        <v/>
      </c>
      <c r="B6" s="29" t="n"/>
      <c r="C6" s="29" t="n"/>
      <c r="D6" s="29" t="n"/>
      <c r="E6" s="29" t="n"/>
      <c r="F6" s="29" t="n"/>
      <c r="G6" s="32">
        <f>IF(OR(E6="",F6=""),"",ABS(E6-F6))</f>
        <v/>
      </c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</row>
    <row r="7">
      <c r="A7" s="31">
        <f>IF(B7="","","TSL-"&amp;TEXT(ROW()-2,"0000"))</f>
        <v/>
      </c>
      <c r="B7" s="23" t="n"/>
      <c r="C7" s="23" t="n"/>
      <c r="D7" s="23" t="n"/>
      <c r="E7" s="23" t="n"/>
      <c r="F7" s="23" t="n"/>
      <c r="G7" s="31">
        <f>IF(OR(E7="",F7=""),"",ABS(E7-F7))</f>
        <v/>
      </c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</row>
    <row r="8">
      <c r="A8" s="32">
        <f>IF(B8="","","TSL-"&amp;TEXT(ROW()-2,"0000"))</f>
        <v/>
      </c>
      <c r="B8" s="29" t="n"/>
      <c r="C8" s="29" t="n"/>
      <c r="D8" s="29" t="n"/>
      <c r="E8" s="29" t="n"/>
      <c r="F8" s="29" t="n"/>
      <c r="G8" s="32">
        <f>IF(OR(E8="",F8=""),"",ABS(E8-F8))</f>
        <v/>
      </c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</row>
    <row r="9">
      <c r="A9" s="31">
        <f>IF(B9="","","TSL-"&amp;TEXT(ROW()-2,"0000"))</f>
        <v/>
      </c>
      <c r="B9" s="23" t="n"/>
      <c r="C9" s="23" t="n"/>
      <c r="D9" s="23" t="n"/>
      <c r="E9" s="23" t="n"/>
      <c r="F9" s="23" t="n"/>
      <c r="G9" s="31">
        <f>IF(OR(E9="",F9=""),"",ABS(E9-F9))</f>
        <v/>
      </c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</row>
    <row r="10">
      <c r="A10" s="32">
        <f>IF(B10="","","TSL-"&amp;TEXT(ROW()-2,"0000"))</f>
        <v/>
      </c>
      <c r="B10" s="29" t="n"/>
      <c r="C10" s="29" t="n"/>
      <c r="D10" s="29" t="n"/>
      <c r="E10" s="29" t="n"/>
      <c r="F10" s="29" t="n"/>
      <c r="G10" s="32">
        <f>IF(OR(E10="",F10=""),"",ABS(E10-F10))</f>
        <v/>
      </c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</row>
    <row r="11">
      <c r="A11" s="31">
        <f>IF(B11="","","TSL-"&amp;TEXT(ROW()-2,"0000"))</f>
        <v/>
      </c>
      <c r="B11" s="23" t="n"/>
      <c r="C11" s="23" t="n"/>
      <c r="D11" s="23" t="n"/>
      <c r="E11" s="23" t="n"/>
      <c r="F11" s="23" t="n"/>
      <c r="G11" s="31">
        <f>IF(OR(E11="",F11=""),"",ABS(E11-F11))</f>
        <v/>
      </c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</row>
    <row r="12">
      <c r="A12" s="32">
        <f>IF(B12="","","TSL-"&amp;TEXT(ROW()-2,"0000"))</f>
        <v/>
      </c>
      <c r="B12" s="29" t="n"/>
      <c r="C12" s="29" t="n"/>
      <c r="D12" s="29" t="n"/>
      <c r="E12" s="29" t="n"/>
      <c r="F12" s="29" t="n"/>
      <c r="G12" s="32">
        <f>IF(OR(E12="",F12=""),"",ABS(E12-F12))</f>
        <v/>
      </c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</row>
    <row r="13">
      <c r="A13" s="31">
        <f>IF(B13="","","TSL-"&amp;TEXT(ROW()-2,"0000"))</f>
        <v/>
      </c>
      <c r="B13" s="23" t="n"/>
      <c r="C13" s="23" t="n"/>
      <c r="D13" s="23" t="n"/>
      <c r="E13" s="23" t="n"/>
      <c r="F13" s="23" t="n"/>
      <c r="G13" s="31">
        <f>IF(OR(E13="",F13=""),"",ABS(E13-F13))</f>
        <v/>
      </c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</row>
    <row r="14">
      <c r="A14" s="32">
        <f>IF(B14="","","TSL-"&amp;TEXT(ROW()-2,"0000"))</f>
        <v/>
      </c>
      <c r="B14" s="29" t="n"/>
      <c r="C14" s="29" t="n"/>
      <c r="D14" s="29" t="n"/>
      <c r="E14" s="29" t="n"/>
      <c r="F14" s="29" t="n"/>
      <c r="G14" s="32">
        <f>IF(OR(E14="",F14=""),"",ABS(E14-F14))</f>
        <v/>
      </c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</row>
    <row r="15">
      <c r="A15" s="31">
        <f>IF(B15="","","TSL-"&amp;TEXT(ROW()-2,"0000"))</f>
        <v/>
      </c>
      <c r="B15" s="23" t="n"/>
      <c r="C15" s="23" t="n"/>
      <c r="D15" s="23" t="n"/>
      <c r="E15" s="23" t="n"/>
      <c r="F15" s="23" t="n"/>
      <c r="G15" s="31">
        <f>IF(OR(E15="",F15=""),"",ABS(E15-F15))</f>
        <v/>
      </c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</row>
    <row r="16">
      <c r="A16" s="32">
        <f>IF(B16="","","TSL-"&amp;TEXT(ROW()-2,"0000"))</f>
        <v/>
      </c>
      <c r="B16" s="29" t="n"/>
      <c r="C16" s="29" t="n"/>
      <c r="D16" s="29" t="n"/>
      <c r="E16" s="29" t="n"/>
      <c r="F16" s="29" t="n"/>
      <c r="G16" s="32">
        <f>IF(OR(E16="",F16=""),"",ABS(E16-F16))</f>
        <v/>
      </c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</row>
    <row r="17">
      <c r="A17" s="31">
        <f>IF(B17="","","TSL-"&amp;TEXT(ROW()-2,"0000"))</f>
        <v/>
      </c>
      <c r="B17" s="23" t="n"/>
      <c r="C17" s="23" t="n"/>
      <c r="D17" s="23" t="n"/>
      <c r="E17" s="23" t="n"/>
      <c r="F17" s="23" t="n"/>
      <c r="G17" s="31">
        <f>IF(OR(E17="",F17=""),"",ABS(E17-F17))</f>
        <v/>
      </c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</row>
    <row r="18">
      <c r="A18" s="32">
        <f>IF(B18="","","TSL-"&amp;TEXT(ROW()-2,"0000"))</f>
        <v/>
      </c>
      <c r="B18" s="29" t="n"/>
      <c r="C18" s="29" t="n"/>
      <c r="D18" s="29" t="n"/>
      <c r="E18" s="29" t="n"/>
      <c r="F18" s="29" t="n"/>
      <c r="G18" s="32">
        <f>IF(OR(E18="",F18=""),"",ABS(E18-F18))</f>
        <v/>
      </c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</row>
    <row r="19">
      <c r="A19" s="31">
        <f>IF(B19="","","TSL-"&amp;TEXT(ROW()-2,"0000"))</f>
        <v/>
      </c>
      <c r="B19" s="23" t="n"/>
      <c r="C19" s="23" t="n"/>
      <c r="D19" s="23" t="n"/>
      <c r="E19" s="23" t="n"/>
      <c r="F19" s="23" t="n"/>
      <c r="G19" s="31">
        <f>IF(OR(E19="",F19=""),"",ABS(E19-F19))</f>
        <v/>
      </c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</row>
    <row r="20">
      <c r="A20" s="32">
        <f>IF(B20="","","TSL-"&amp;TEXT(ROW()-2,"0000"))</f>
        <v/>
      </c>
      <c r="B20" s="29" t="n"/>
      <c r="C20" s="29" t="n"/>
      <c r="D20" s="29" t="n"/>
      <c r="E20" s="29" t="n"/>
      <c r="F20" s="29" t="n"/>
      <c r="G20" s="32">
        <f>IF(OR(E20="",F20=""),"",ABS(E20-F20))</f>
        <v/>
      </c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</row>
    <row r="21">
      <c r="A21" s="31">
        <f>IF(B21="","","TSL-"&amp;TEXT(ROW()-2,"0000"))</f>
        <v/>
      </c>
      <c r="B21" s="23" t="n"/>
      <c r="C21" s="23" t="n"/>
      <c r="D21" s="23" t="n"/>
      <c r="E21" s="23" t="n"/>
      <c r="F21" s="23" t="n"/>
      <c r="G21" s="31">
        <f>IF(OR(E21="",F21=""),"",ABS(E21-F21))</f>
        <v/>
      </c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</row>
    <row r="22">
      <c r="A22" s="32">
        <f>IF(B22="","","TSL-"&amp;TEXT(ROW()-2,"0000"))</f>
        <v/>
      </c>
      <c r="B22" s="29" t="n"/>
      <c r="C22" s="29" t="n"/>
      <c r="D22" s="29" t="n"/>
      <c r="E22" s="29" t="n"/>
      <c r="F22" s="29" t="n"/>
      <c r="G22" s="32">
        <f>IF(OR(E22="",F22=""),"",ABS(E22-F22))</f>
        <v/>
      </c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</row>
    <row r="23">
      <c r="A23" s="31">
        <f>IF(B23="","","TSL-"&amp;TEXT(ROW()-2,"0000"))</f>
        <v/>
      </c>
      <c r="B23" s="23" t="n"/>
      <c r="C23" s="23" t="n"/>
      <c r="D23" s="23" t="n"/>
      <c r="E23" s="23" t="n"/>
      <c r="F23" s="23" t="n"/>
      <c r="G23" s="31">
        <f>IF(OR(E23="",F23=""),"",ABS(E23-F23))</f>
        <v/>
      </c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</row>
    <row r="24">
      <c r="A24" s="32">
        <f>IF(B24="","","TSL-"&amp;TEXT(ROW()-2,"0000"))</f>
        <v/>
      </c>
      <c r="B24" s="29" t="n"/>
      <c r="C24" s="29" t="n"/>
      <c r="D24" s="29" t="n"/>
      <c r="E24" s="29" t="n"/>
      <c r="F24" s="29" t="n"/>
      <c r="G24" s="32">
        <f>IF(OR(E24="",F24=""),"",ABS(E24-F24))</f>
        <v/>
      </c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</row>
    <row r="25">
      <c r="A25" s="31">
        <f>IF(B25="","","TSL-"&amp;TEXT(ROW()-2,"0000"))</f>
        <v/>
      </c>
      <c r="B25" s="23" t="n"/>
      <c r="C25" s="23" t="n"/>
      <c r="D25" s="23" t="n"/>
      <c r="E25" s="23" t="n"/>
      <c r="F25" s="23" t="n"/>
      <c r="G25" s="31">
        <f>IF(OR(E25="",F25=""),"",ABS(E25-F25))</f>
        <v/>
      </c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</row>
    <row r="26">
      <c r="A26" s="32">
        <f>IF(B26="","","TSL-"&amp;TEXT(ROW()-2,"0000"))</f>
        <v/>
      </c>
      <c r="B26" s="29" t="n"/>
      <c r="C26" s="29" t="n"/>
      <c r="D26" s="29" t="n"/>
      <c r="E26" s="29" t="n"/>
      <c r="F26" s="29" t="n"/>
      <c r="G26" s="32">
        <f>IF(OR(E26="",F26=""),"",ABS(E26-F26))</f>
        <v/>
      </c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</row>
    <row r="27">
      <c r="A27" s="31">
        <f>IF(B27="","","TSL-"&amp;TEXT(ROW()-2,"0000"))</f>
        <v/>
      </c>
      <c r="B27" s="23" t="n"/>
      <c r="C27" s="23" t="n"/>
      <c r="D27" s="23" t="n"/>
      <c r="E27" s="23" t="n"/>
      <c r="F27" s="23" t="n"/>
      <c r="G27" s="31">
        <f>IF(OR(E27="",F27=""),"",ABS(E27-F27))</f>
        <v/>
      </c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</row>
    <row r="28">
      <c r="A28" s="32">
        <f>IF(B28="","","TSL-"&amp;TEXT(ROW()-2,"0000"))</f>
        <v/>
      </c>
      <c r="B28" s="29" t="n"/>
      <c r="C28" s="29" t="n"/>
      <c r="D28" s="29" t="n"/>
      <c r="E28" s="29" t="n"/>
      <c r="F28" s="29" t="n"/>
      <c r="G28" s="32">
        <f>IF(OR(E28="",F28=""),"",ABS(E28-F28))</f>
        <v/>
      </c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</row>
    <row r="29">
      <c r="A29" s="31">
        <f>IF(B29="","","TSL-"&amp;TEXT(ROW()-2,"0000"))</f>
        <v/>
      </c>
      <c r="B29" s="23" t="n"/>
      <c r="C29" s="23" t="n"/>
      <c r="D29" s="23" t="n"/>
      <c r="E29" s="23" t="n"/>
      <c r="F29" s="23" t="n"/>
      <c r="G29" s="31">
        <f>IF(OR(E29="",F29=""),"",ABS(E29-F29))</f>
        <v/>
      </c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</row>
    <row r="30">
      <c r="A30" s="32">
        <f>IF(B30="","","TSL-"&amp;TEXT(ROW()-2,"0000"))</f>
        <v/>
      </c>
      <c r="B30" s="29" t="n"/>
      <c r="C30" s="29" t="n"/>
      <c r="D30" s="29" t="n"/>
      <c r="E30" s="29" t="n"/>
      <c r="F30" s="29" t="n"/>
      <c r="G30" s="32">
        <f>IF(OR(E30="",F30=""),"",ABS(E30-F30))</f>
        <v/>
      </c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</row>
    <row r="31">
      <c r="A31" s="31">
        <f>IF(B31="","","TSL-"&amp;TEXT(ROW()-2,"0000"))</f>
        <v/>
      </c>
      <c r="B31" s="23" t="n"/>
      <c r="C31" s="23" t="n"/>
      <c r="D31" s="23" t="n"/>
      <c r="E31" s="23" t="n"/>
      <c r="F31" s="23" t="n"/>
      <c r="G31" s="31">
        <f>IF(OR(E31="",F31=""),"",ABS(E31-F31))</f>
        <v/>
      </c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</row>
    <row r="32">
      <c r="A32" s="32">
        <f>IF(B32="","","TSL-"&amp;TEXT(ROW()-2,"0000"))</f>
        <v/>
      </c>
      <c r="B32" s="29" t="n"/>
      <c r="C32" s="29" t="n"/>
      <c r="D32" s="29" t="n"/>
      <c r="E32" s="29" t="n"/>
      <c r="F32" s="29" t="n"/>
      <c r="G32" s="32">
        <f>IF(OR(E32="",F32=""),"",ABS(E32-F32))</f>
        <v/>
      </c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</row>
    <row r="33">
      <c r="A33" s="31">
        <f>IF(B33="","","TSL-"&amp;TEXT(ROW()-2,"0000"))</f>
        <v/>
      </c>
      <c r="B33" s="23" t="n"/>
      <c r="C33" s="23" t="n"/>
      <c r="D33" s="23" t="n"/>
      <c r="E33" s="23" t="n"/>
      <c r="F33" s="23" t="n"/>
      <c r="G33" s="31">
        <f>IF(OR(E33="",F33=""),"",ABS(E33-F33))</f>
        <v/>
      </c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</row>
    <row r="34">
      <c r="A34" s="32">
        <f>IF(B34="","","TSL-"&amp;TEXT(ROW()-2,"0000"))</f>
        <v/>
      </c>
      <c r="B34" s="29" t="n"/>
      <c r="C34" s="29" t="n"/>
      <c r="D34" s="29" t="n"/>
      <c r="E34" s="29" t="n"/>
      <c r="F34" s="29" t="n"/>
      <c r="G34" s="32">
        <f>IF(OR(E34="",F34=""),"",ABS(E34-F34))</f>
        <v/>
      </c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</row>
    <row r="35">
      <c r="A35" s="31">
        <f>IF(B35="","","TSL-"&amp;TEXT(ROW()-2,"0000"))</f>
        <v/>
      </c>
      <c r="B35" s="23" t="n"/>
      <c r="C35" s="23" t="n"/>
      <c r="D35" s="23" t="n"/>
      <c r="E35" s="23" t="n"/>
      <c r="F35" s="23" t="n"/>
      <c r="G35" s="31">
        <f>IF(OR(E35="",F35=""),"",ABS(E35-F35))</f>
        <v/>
      </c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</row>
    <row r="36">
      <c r="A36" s="32">
        <f>IF(B36="","","TSL-"&amp;TEXT(ROW()-2,"0000"))</f>
        <v/>
      </c>
      <c r="B36" s="29" t="n"/>
      <c r="C36" s="29" t="n"/>
      <c r="D36" s="29" t="n"/>
      <c r="E36" s="29" t="n"/>
      <c r="F36" s="29" t="n"/>
      <c r="G36" s="32">
        <f>IF(OR(E36="",F36=""),"",ABS(E36-F36))</f>
        <v/>
      </c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</row>
    <row r="37">
      <c r="A37" s="31">
        <f>IF(B37="","","TSL-"&amp;TEXT(ROW()-2,"0000"))</f>
        <v/>
      </c>
      <c r="B37" s="23" t="n"/>
      <c r="C37" s="23" t="n"/>
      <c r="D37" s="23" t="n"/>
      <c r="E37" s="23" t="n"/>
      <c r="F37" s="23" t="n"/>
      <c r="G37" s="31">
        <f>IF(OR(E37="",F37=""),"",ABS(E37-F37))</f>
        <v/>
      </c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</row>
    <row r="38">
      <c r="A38" s="32">
        <f>IF(B38="","","TSL-"&amp;TEXT(ROW()-2,"0000"))</f>
        <v/>
      </c>
      <c r="B38" s="29" t="n"/>
      <c r="C38" s="29" t="n"/>
      <c r="D38" s="29" t="n"/>
      <c r="E38" s="29" t="n"/>
      <c r="F38" s="29" t="n"/>
      <c r="G38" s="32">
        <f>IF(OR(E38="",F38=""),"",ABS(E38-F38))</f>
        <v/>
      </c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</row>
    <row r="39">
      <c r="A39" s="31">
        <f>IF(B39="","","TSL-"&amp;TEXT(ROW()-2,"0000"))</f>
        <v/>
      </c>
      <c r="B39" s="23" t="n"/>
      <c r="C39" s="23" t="n"/>
      <c r="D39" s="23" t="n"/>
      <c r="E39" s="23" t="n"/>
      <c r="F39" s="23" t="n"/>
      <c r="G39" s="31">
        <f>IF(OR(E39="",F39=""),"",ABS(E39-F39))</f>
        <v/>
      </c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</row>
    <row r="40">
      <c r="A40" s="32">
        <f>IF(B40="","","TSL-"&amp;TEXT(ROW()-2,"0000"))</f>
        <v/>
      </c>
      <c r="B40" s="29" t="n"/>
      <c r="C40" s="29" t="n"/>
      <c r="D40" s="29" t="n"/>
      <c r="E40" s="29" t="n"/>
      <c r="F40" s="29" t="n"/>
      <c r="G40" s="32">
        <f>IF(OR(E40="",F40=""),"",ABS(E40-F40))</f>
        <v/>
      </c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</row>
    <row r="41">
      <c r="A41" s="31">
        <f>IF(B41="","","TSL-"&amp;TEXT(ROW()-2,"0000"))</f>
        <v/>
      </c>
      <c r="B41" s="23" t="n"/>
      <c r="C41" s="23" t="n"/>
      <c r="D41" s="23" t="n"/>
      <c r="E41" s="23" t="n"/>
      <c r="F41" s="23" t="n"/>
      <c r="G41" s="31">
        <f>IF(OR(E41="",F41=""),"",ABS(E41-F41))</f>
        <v/>
      </c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</row>
    <row r="42">
      <c r="A42" s="32">
        <f>IF(B42="","","TSL-"&amp;TEXT(ROW()-2,"0000"))</f>
        <v/>
      </c>
      <c r="B42" s="29" t="n"/>
      <c r="C42" s="29" t="n"/>
      <c r="D42" s="29" t="n"/>
      <c r="E42" s="29" t="n"/>
      <c r="F42" s="29" t="n"/>
      <c r="G42" s="32">
        <f>IF(OR(E42="",F42=""),"",ABS(E42-F42))</f>
        <v/>
      </c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</row>
    <row r="43">
      <c r="A43" s="31">
        <f>IF(B43="","","TSL-"&amp;TEXT(ROW()-2,"0000"))</f>
        <v/>
      </c>
      <c r="B43" s="23" t="n"/>
      <c r="C43" s="23" t="n"/>
      <c r="D43" s="23" t="n"/>
      <c r="E43" s="23" t="n"/>
      <c r="F43" s="23" t="n"/>
      <c r="G43" s="31">
        <f>IF(OR(E43="",F43=""),"",ABS(E43-F43))</f>
        <v/>
      </c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</row>
    <row r="44">
      <c r="A44" s="32">
        <f>IF(B44="","","TSL-"&amp;TEXT(ROW()-2,"0000"))</f>
        <v/>
      </c>
      <c r="B44" s="29" t="n"/>
      <c r="C44" s="29" t="n"/>
      <c r="D44" s="29" t="n"/>
      <c r="E44" s="29" t="n"/>
      <c r="F44" s="29" t="n"/>
      <c r="G44" s="32">
        <f>IF(OR(E44="",F44=""),"",ABS(E44-F44))</f>
        <v/>
      </c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</row>
    <row r="45">
      <c r="A45" s="31">
        <f>IF(B45="","","TSL-"&amp;TEXT(ROW()-2,"0000"))</f>
        <v/>
      </c>
      <c r="B45" s="23" t="n"/>
      <c r="C45" s="23" t="n"/>
      <c r="D45" s="23" t="n"/>
      <c r="E45" s="23" t="n"/>
      <c r="F45" s="23" t="n"/>
      <c r="G45" s="31">
        <f>IF(OR(E45="",F45=""),"",ABS(E45-F45))</f>
        <v/>
      </c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</row>
    <row r="46">
      <c r="A46" s="32">
        <f>IF(B46="","","TSL-"&amp;TEXT(ROW()-2,"0000"))</f>
        <v/>
      </c>
      <c r="B46" s="29" t="n"/>
      <c r="C46" s="29" t="n"/>
      <c r="D46" s="29" t="n"/>
      <c r="E46" s="29" t="n"/>
      <c r="F46" s="29" t="n"/>
      <c r="G46" s="32">
        <f>IF(OR(E46="",F46=""),"",ABS(E46-F46))</f>
        <v/>
      </c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</row>
    <row r="47">
      <c r="A47" s="31">
        <f>IF(B47="","","TSL-"&amp;TEXT(ROW()-2,"0000"))</f>
        <v/>
      </c>
      <c r="B47" s="23" t="n"/>
      <c r="C47" s="23" t="n"/>
      <c r="D47" s="23" t="n"/>
      <c r="E47" s="23" t="n"/>
      <c r="F47" s="23" t="n"/>
      <c r="G47" s="31">
        <f>IF(OR(E47="",F47=""),"",ABS(E47-F47))</f>
        <v/>
      </c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</row>
    <row r="48">
      <c r="A48" s="32">
        <f>IF(B48="","","TSL-"&amp;TEXT(ROW()-2,"0000"))</f>
        <v/>
      </c>
      <c r="B48" s="29" t="n"/>
      <c r="C48" s="29" t="n"/>
      <c r="D48" s="29" t="n"/>
      <c r="E48" s="29" t="n"/>
      <c r="F48" s="29" t="n"/>
      <c r="G48" s="32">
        <f>IF(OR(E48="",F48=""),"",ABS(E48-F48))</f>
        <v/>
      </c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</row>
    <row r="49">
      <c r="A49" s="31">
        <f>IF(B49="","","TSL-"&amp;TEXT(ROW()-2,"0000"))</f>
        <v/>
      </c>
      <c r="B49" s="23" t="n"/>
      <c r="C49" s="23" t="n"/>
      <c r="D49" s="23" t="n"/>
      <c r="E49" s="23" t="n"/>
      <c r="F49" s="23" t="n"/>
      <c r="G49" s="31">
        <f>IF(OR(E49="",F49=""),"",ABS(E49-F49))</f>
        <v/>
      </c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</row>
    <row r="50">
      <c r="A50" s="32">
        <f>IF(B50="","","TSL-"&amp;TEXT(ROW()-2,"0000"))</f>
        <v/>
      </c>
      <c r="B50" s="29" t="n"/>
      <c r="C50" s="29" t="n"/>
      <c r="D50" s="29" t="n"/>
      <c r="E50" s="29" t="n"/>
      <c r="F50" s="29" t="n"/>
      <c r="G50" s="32">
        <f>IF(OR(E50="",F50=""),"",ABS(E50-F50))</f>
        <v/>
      </c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</row>
    <row r="51">
      <c r="A51" s="31">
        <f>IF(B51="","","TSL-"&amp;TEXT(ROW()-2,"0000"))</f>
        <v/>
      </c>
      <c r="B51" s="23" t="n"/>
      <c r="C51" s="23" t="n"/>
      <c r="D51" s="23" t="n"/>
      <c r="E51" s="23" t="n"/>
      <c r="F51" s="23" t="n"/>
      <c r="G51" s="31">
        <f>IF(OR(E51="",F51=""),"",ABS(E51-F51))</f>
        <v/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</row>
    <row r="52">
      <c r="A52" s="32">
        <f>IF(B52="","","TSL-"&amp;TEXT(ROW()-2,"0000"))</f>
        <v/>
      </c>
      <c r="B52" s="29" t="n"/>
      <c r="C52" s="29" t="n"/>
      <c r="D52" s="29" t="n"/>
      <c r="E52" s="29" t="n"/>
      <c r="F52" s="29" t="n"/>
      <c r="G52" s="32">
        <f>IF(OR(E52="",F52=""),"",ABS(E52-F52))</f>
        <v/>
      </c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</row>
    <row r="53">
      <c r="A53" s="31">
        <f>IF(B53="","","TSL-"&amp;TEXT(ROW()-2,"0000"))</f>
        <v/>
      </c>
      <c r="B53" s="23" t="n"/>
      <c r="C53" s="23" t="n"/>
      <c r="D53" s="23" t="n"/>
      <c r="E53" s="23" t="n"/>
      <c r="F53" s="23" t="n"/>
      <c r="G53" s="31">
        <f>IF(OR(E53="",F53=""),"",ABS(E53-F53))</f>
        <v/>
      </c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</row>
    <row r="54">
      <c r="A54" s="32">
        <f>IF(B54="","","TSL-"&amp;TEXT(ROW()-2,"0000"))</f>
        <v/>
      </c>
      <c r="B54" s="29" t="n"/>
      <c r="C54" s="29" t="n"/>
      <c r="D54" s="29" t="n"/>
      <c r="E54" s="29" t="n"/>
      <c r="F54" s="29" t="n"/>
      <c r="G54" s="32">
        <f>IF(OR(E54="",F54=""),"",ABS(E54-F54))</f>
        <v/>
      </c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</row>
    <row r="55">
      <c r="A55" s="31">
        <f>IF(B55="","","TSL-"&amp;TEXT(ROW()-2,"0000"))</f>
        <v/>
      </c>
      <c r="B55" s="23" t="n"/>
      <c r="C55" s="23" t="n"/>
      <c r="D55" s="23" t="n"/>
      <c r="E55" s="23" t="n"/>
      <c r="F55" s="23" t="n"/>
      <c r="G55" s="31">
        <f>IF(OR(E55="",F55=""),"",ABS(E55-F55))</f>
        <v/>
      </c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</row>
    <row r="56">
      <c r="A56" s="32">
        <f>IF(B56="","","TSL-"&amp;TEXT(ROW()-2,"0000"))</f>
        <v/>
      </c>
      <c r="B56" s="29" t="n"/>
      <c r="C56" s="29" t="n"/>
      <c r="D56" s="29" t="n"/>
      <c r="E56" s="29" t="n"/>
      <c r="F56" s="29" t="n"/>
      <c r="G56" s="32">
        <f>IF(OR(E56="",F56=""),"",ABS(E56-F56))</f>
        <v/>
      </c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</row>
    <row r="57">
      <c r="A57" s="31">
        <f>IF(B57="","","TSL-"&amp;TEXT(ROW()-2,"0000"))</f>
        <v/>
      </c>
      <c r="B57" s="23" t="n"/>
      <c r="C57" s="23" t="n"/>
      <c r="D57" s="23" t="n"/>
      <c r="E57" s="23" t="n"/>
      <c r="F57" s="23" t="n"/>
      <c r="G57" s="31">
        <f>IF(OR(E57="",F57=""),"",ABS(E57-F57))</f>
        <v/>
      </c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</row>
    <row r="58">
      <c r="A58" s="32">
        <f>IF(B58="","","TSL-"&amp;TEXT(ROW()-2,"0000"))</f>
        <v/>
      </c>
      <c r="B58" s="29" t="n"/>
      <c r="C58" s="29" t="n"/>
      <c r="D58" s="29" t="n"/>
      <c r="E58" s="29" t="n"/>
      <c r="F58" s="29" t="n"/>
      <c r="G58" s="32">
        <f>IF(OR(E58="",F58=""),"",ABS(E58-F58))</f>
        <v/>
      </c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</row>
    <row r="59">
      <c r="A59" s="31">
        <f>IF(B59="","","TSL-"&amp;TEXT(ROW()-2,"0000"))</f>
        <v/>
      </c>
      <c r="B59" s="23" t="n"/>
      <c r="C59" s="23" t="n"/>
      <c r="D59" s="23" t="n"/>
      <c r="E59" s="23" t="n"/>
      <c r="F59" s="23" t="n"/>
      <c r="G59" s="31">
        <f>IF(OR(E59="",F59=""),"",ABS(E59-F59))</f>
        <v/>
      </c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</row>
    <row r="60">
      <c r="A60" s="32">
        <f>IF(B60="","","TSL-"&amp;TEXT(ROW()-2,"0000"))</f>
        <v/>
      </c>
      <c r="B60" s="29" t="n"/>
      <c r="C60" s="29" t="n"/>
      <c r="D60" s="29" t="n"/>
      <c r="E60" s="29" t="n"/>
      <c r="F60" s="29" t="n"/>
      <c r="G60" s="32">
        <f>IF(OR(E60="",F60=""),"",ABS(E60-F60))</f>
        <v/>
      </c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</row>
    <row r="61">
      <c r="A61" s="31">
        <f>IF(B61="","","TSL-"&amp;TEXT(ROW()-2,"0000"))</f>
        <v/>
      </c>
      <c r="B61" s="23" t="n"/>
      <c r="C61" s="23" t="n"/>
      <c r="D61" s="23" t="n"/>
      <c r="E61" s="23" t="n"/>
      <c r="F61" s="23" t="n"/>
      <c r="G61" s="31">
        <f>IF(OR(E61="",F61=""),"",ABS(E61-F61))</f>
        <v/>
      </c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</row>
    <row r="62">
      <c r="A62" s="32">
        <f>IF(B62="","","TSL-"&amp;TEXT(ROW()-2,"0000"))</f>
        <v/>
      </c>
      <c r="B62" s="29" t="n"/>
      <c r="C62" s="29" t="n"/>
      <c r="D62" s="29" t="n"/>
      <c r="E62" s="29" t="n"/>
      <c r="F62" s="29" t="n"/>
      <c r="G62" s="32">
        <f>IF(OR(E62="",F62=""),"",ABS(E62-F62))</f>
        <v/>
      </c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</row>
    <row r="63">
      <c r="A63" s="31">
        <f>IF(B63="","","TSL-"&amp;TEXT(ROW()-2,"0000"))</f>
        <v/>
      </c>
      <c r="B63" s="23" t="n"/>
      <c r="C63" s="23" t="n"/>
      <c r="D63" s="23" t="n"/>
      <c r="E63" s="23" t="n"/>
      <c r="F63" s="23" t="n"/>
      <c r="G63" s="31">
        <f>IF(OR(E63="",F63=""),"",ABS(E63-F63))</f>
        <v/>
      </c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</row>
    <row r="64">
      <c r="A64" s="32">
        <f>IF(B64="","","TSL-"&amp;TEXT(ROW()-2,"0000"))</f>
        <v/>
      </c>
      <c r="B64" s="29" t="n"/>
      <c r="C64" s="29" t="n"/>
      <c r="D64" s="29" t="n"/>
      <c r="E64" s="29" t="n"/>
      <c r="F64" s="29" t="n"/>
      <c r="G64" s="32">
        <f>IF(OR(E64="",F64=""),"",ABS(E64-F64))</f>
        <v/>
      </c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</row>
    <row r="65">
      <c r="A65" s="31">
        <f>IF(B65="","","TSL-"&amp;TEXT(ROW()-2,"0000"))</f>
        <v/>
      </c>
      <c r="B65" s="23" t="n"/>
      <c r="C65" s="23" t="n"/>
      <c r="D65" s="23" t="n"/>
      <c r="E65" s="23" t="n"/>
      <c r="F65" s="23" t="n"/>
      <c r="G65" s="31">
        <f>IF(OR(E65="",F65=""),"",ABS(E65-F65))</f>
        <v/>
      </c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</row>
    <row r="66">
      <c r="A66" s="32">
        <f>IF(B66="","","TSL-"&amp;TEXT(ROW()-2,"0000"))</f>
        <v/>
      </c>
      <c r="B66" s="29" t="n"/>
      <c r="C66" s="29" t="n"/>
      <c r="D66" s="29" t="n"/>
      <c r="E66" s="29" t="n"/>
      <c r="F66" s="29" t="n"/>
      <c r="G66" s="32">
        <f>IF(OR(E66="",F66=""),"",ABS(E66-F66))</f>
        <v/>
      </c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</row>
    <row r="67">
      <c r="A67" s="31">
        <f>IF(B67="","","TSL-"&amp;TEXT(ROW()-2,"0000"))</f>
        <v/>
      </c>
      <c r="B67" s="23" t="n"/>
      <c r="C67" s="23" t="n"/>
      <c r="D67" s="23" t="n"/>
      <c r="E67" s="23" t="n"/>
      <c r="F67" s="23" t="n"/>
      <c r="G67" s="31">
        <f>IF(OR(E67="",F67=""),"",ABS(E67-F67))</f>
        <v/>
      </c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</row>
    <row r="68">
      <c r="A68" s="32">
        <f>IF(B68="","","TSL-"&amp;TEXT(ROW()-2,"0000"))</f>
        <v/>
      </c>
      <c r="B68" s="29" t="n"/>
      <c r="C68" s="29" t="n"/>
      <c r="D68" s="29" t="n"/>
      <c r="E68" s="29" t="n"/>
      <c r="F68" s="29" t="n"/>
      <c r="G68" s="32">
        <f>IF(OR(E68="",F68=""),"",ABS(E68-F68))</f>
        <v/>
      </c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</row>
    <row r="69">
      <c r="A69" s="31">
        <f>IF(B69="","","TSL-"&amp;TEXT(ROW()-2,"0000"))</f>
        <v/>
      </c>
      <c r="B69" s="23" t="n"/>
      <c r="C69" s="23" t="n"/>
      <c r="D69" s="23" t="n"/>
      <c r="E69" s="23" t="n"/>
      <c r="F69" s="23" t="n"/>
      <c r="G69" s="31">
        <f>IF(OR(E69="",F69=""),"",ABS(E69-F69))</f>
        <v/>
      </c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</row>
    <row r="70">
      <c r="A70" s="32">
        <f>IF(B70="","","TSL-"&amp;TEXT(ROW()-2,"0000"))</f>
        <v/>
      </c>
      <c r="B70" s="29" t="n"/>
      <c r="C70" s="29" t="n"/>
      <c r="D70" s="29" t="n"/>
      <c r="E70" s="29" t="n"/>
      <c r="F70" s="29" t="n"/>
      <c r="G70" s="32">
        <f>IF(OR(E70="",F70=""),"",ABS(E70-F70))</f>
        <v/>
      </c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</row>
    <row r="71">
      <c r="A71" s="31">
        <f>IF(B71="","","TSL-"&amp;TEXT(ROW()-2,"0000"))</f>
        <v/>
      </c>
      <c r="B71" s="23" t="n"/>
      <c r="C71" s="23" t="n"/>
      <c r="D71" s="23" t="n"/>
      <c r="E71" s="23" t="n"/>
      <c r="F71" s="23" t="n"/>
      <c r="G71" s="31">
        <f>IF(OR(E71="",F71=""),"",ABS(E71-F71))</f>
        <v/>
      </c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</row>
    <row r="72">
      <c r="A72" s="32">
        <f>IF(B72="","","TSL-"&amp;TEXT(ROW()-2,"0000"))</f>
        <v/>
      </c>
      <c r="B72" s="29" t="n"/>
      <c r="C72" s="29" t="n"/>
      <c r="D72" s="29" t="n"/>
      <c r="E72" s="29" t="n"/>
      <c r="F72" s="29" t="n"/>
      <c r="G72" s="32">
        <f>IF(OR(E72="",F72=""),"",ABS(E72-F72))</f>
        <v/>
      </c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</row>
    <row r="73">
      <c r="A73" s="31">
        <f>IF(B73="","","TSL-"&amp;TEXT(ROW()-2,"0000"))</f>
        <v/>
      </c>
      <c r="B73" s="23" t="n"/>
      <c r="C73" s="23" t="n"/>
      <c r="D73" s="23" t="n"/>
      <c r="E73" s="23" t="n"/>
      <c r="F73" s="23" t="n"/>
      <c r="G73" s="31">
        <f>IF(OR(E73="",F73=""),"",ABS(E73-F73))</f>
        <v/>
      </c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</row>
    <row r="74">
      <c r="A74" s="32">
        <f>IF(B74="","","TSL-"&amp;TEXT(ROW()-2,"0000"))</f>
        <v/>
      </c>
      <c r="B74" s="29" t="n"/>
      <c r="C74" s="29" t="n"/>
      <c r="D74" s="29" t="n"/>
      <c r="E74" s="29" t="n"/>
      <c r="F74" s="29" t="n"/>
      <c r="G74" s="32">
        <f>IF(OR(E74="",F74=""),"",ABS(E74-F74))</f>
        <v/>
      </c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</row>
    <row r="75">
      <c r="A75" s="31">
        <f>IF(B75="","","TSL-"&amp;TEXT(ROW()-2,"0000"))</f>
        <v/>
      </c>
      <c r="B75" s="23" t="n"/>
      <c r="C75" s="23" t="n"/>
      <c r="D75" s="23" t="n"/>
      <c r="E75" s="23" t="n"/>
      <c r="F75" s="23" t="n"/>
      <c r="G75" s="31">
        <f>IF(OR(E75="",F75=""),"",ABS(E75-F75))</f>
        <v/>
      </c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</row>
    <row r="76">
      <c r="A76" s="32">
        <f>IF(B76="","","TSL-"&amp;TEXT(ROW()-2,"0000"))</f>
        <v/>
      </c>
      <c r="B76" s="29" t="n"/>
      <c r="C76" s="29" t="n"/>
      <c r="D76" s="29" t="n"/>
      <c r="E76" s="29" t="n"/>
      <c r="F76" s="29" t="n"/>
      <c r="G76" s="32">
        <f>IF(OR(E76="",F76=""),"",ABS(E76-F76))</f>
        <v/>
      </c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</row>
    <row r="77">
      <c r="A77" s="31">
        <f>IF(B77="","","TSL-"&amp;TEXT(ROW()-2,"0000"))</f>
        <v/>
      </c>
      <c r="B77" s="23" t="n"/>
      <c r="C77" s="23" t="n"/>
      <c r="D77" s="23" t="n"/>
      <c r="E77" s="23" t="n"/>
      <c r="F77" s="23" t="n"/>
      <c r="G77" s="31">
        <f>IF(OR(E77="",F77=""),"",ABS(E77-F77))</f>
        <v/>
      </c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</row>
    <row r="78">
      <c r="A78" s="32">
        <f>IF(B78="","","TSL-"&amp;TEXT(ROW()-2,"0000"))</f>
        <v/>
      </c>
      <c r="B78" s="29" t="n"/>
      <c r="C78" s="29" t="n"/>
      <c r="D78" s="29" t="n"/>
      <c r="E78" s="29" t="n"/>
      <c r="F78" s="29" t="n"/>
      <c r="G78" s="32">
        <f>IF(OR(E78="",F78=""),"",ABS(E78-F78))</f>
        <v/>
      </c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</row>
    <row r="79">
      <c r="A79" s="31">
        <f>IF(B79="","","TSL-"&amp;TEXT(ROW()-2,"0000"))</f>
        <v/>
      </c>
      <c r="B79" s="23" t="n"/>
      <c r="C79" s="23" t="n"/>
      <c r="D79" s="23" t="n"/>
      <c r="E79" s="23" t="n"/>
      <c r="F79" s="23" t="n"/>
      <c r="G79" s="31">
        <f>IF(OR(E79="",F79=""),"",ABS(E79-F79))</f>
        <v/>
      </c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</row>
    <row r="80">
      <c r="A80" s="32">
        <f>IF(B80="","","TSL-"&amp;TEXT(ROW()-2,"0000"))</f>
        <v/>
      </c>
      <c r="B80" s="29" t="n"/>
      <c r="C80" s="29" t="n"/>
      <c r="D80" s="29" t="n"/>
      <c r="E80" s="29" t="n"/>
      <c r="F80" s="29" t="n"/>
      <c r="G80" s="32">
        <f>IF(OR(E80="",F80=""),"",ABS(E80-F80))</f>
        <v/>
      </c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</row>
    <row r="81">
      <c r="A81" s="31">
        <f>IF(B81="","","TSL-"&amp;TEXT(ROW()-2,"0000"))</f>
        <v/>
      </c>
      <c r="B81" s="23" t="n"/>
      <c r="C81" s="23" t="n"/>
      <c r="D81" s="23" t="n"/>
      <c r="E81" s="23" t="n"/>
      <c r="F81" s="23" t="n"/>
      <c r="G81" s="31">
        <f>IF(OR(E81="",F81=""),"",ABS(E81-F81))</f>
        <v/>
      </c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</row>
    <row r="82">
      <c r="A82" s="32">
        <f>IF(B82="","","TSL-"&amp;TEXT(ROW()-2,"0000"))</f>
        <v/>
      </c>
      <c r="B82" s="29" t="n"/>
      <c r="C82" s="29" t="n"/>
      <c r="D82" s="29" t="n"/>
      <c r="E82" s="29" t="n"/>
      <c r="F82" s="29" t="n"/>
      <c r="G82" s="32">
        <f>IF(OR(E82="",F82=""),"",ABS(E82-F82))</f>
        <v/>
      </c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</row>
    <row r="83">
      <c r="A83" s="31">
        <f>IF(B83="","","TSL-"&amp;TEXT(ROW()-2,"0000"))</f>
        <v/>
      </c>
      <c r="B83" s="23" t="n"/>
      <c r="C83" s="23" t="n"/>
      <c r="D83" s="23" t="n"/>
      <c r="E83" s="23" t="n"/>
      <c r="F83" s="23" t="n"/>
      <c r="G83" s="31">
        <f>IF(OR(E83="",F83=""),"",ABS(E83-F83))</f>
        <v/>
      </c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</row>
    <row r="84">
      <c r="A84" s="32">
        <f>IF(B84="","","TSL-"&amp;TEXT(ROW()-2,"0000"))</f>
        <v/>
      </c>
      <c r="B84" s="29" t="n"/>
      <c r="C84" s="29" t="n"/>
      <c r="D84" s="29" t="n"/>
      <c r="E84" s="29" t="n"/>
      <c r="F84" s="29" t="n"/>
      <c r="G84" s="32">
        <f>IF(OR(E84="",F84=""),"",ABS(E84-F84))</f>
        <v/>
      </c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</row>
    <row r="85">
      <c r="A85" s="31">
        <f>IF(B85="","","TSL-"&amp;TEXT(ROW()-2,"0000"))</f>
        <v/>
      </c>
      <c r="B85" s="23" t="n"/>
      <c r="C85" s="23" t="n"/>
      <c r="D85" s="23" t="n"/>
      <c r="E85" s="23" t="n"/>
      <c r="F85" s="23" t="n"/>
      <c r="G85" s="31">
        <f>IF(OR(E85="",F85=""),"",ABS(E85-F85))</f>
        <v/>
      </c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</row>
    <row r="86">
      <c r="A86" s="32">
        <f>IF(B86="","","TSL-"&amp;TEXT(ROW()-2,"0000"))</f>
        <v/>
      </c>
      <c r="B86" s="29" t="n"/>
      <c r="C86" s="29" t="n"/>
      <c r="D86" s="29" t="n"/>
      <c r="E86" s="29" t="n"/>
      <c r="F86" s="29" t="n"/>
      <c r="G86" s="32">
        <f>IF(OR(E86="",F86=""),"",ABS(E86-F86))</f>
        <v/>
      </c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</row>
    <row r="87">
      <c r="A87" s="31">
        <f>IF(B87="","","TSL-"&amp;TEXT(ROW()-2,"0000"))</f>
        <v/>
      </c>
      <c r="B87" s="23" t="n"/>
      <c r="C87" s="23" t="n"/>
      <c r="D87" s="23" t="n"/>
      <c r="E87" s="23" t="n"/>
      <c r="F87" s="23" t="n"/>
      <c r="G87" s="31">
        <f>IF(OR(E87="",F87=""),"",ABS(E87-F87))</f>
        <v/>
      </c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</row>
    <row r="88">
      <c r="A88" s="32">
        <f>IF(B88="","","TSL-"&amp;TEXT(ROW()-2,"0000"))</f>
        <v/>
      </c>
      <c r="B88" s="29" t="n"/>
      <c r="C88" s="29" t="n"/>
      <c r="D88" s="29" t="n"/>
      <c r="E88" s="29" t="n"/>
      <c r="F88" s="29" t="n"/>
      <c r="G88" s="32">
        <f>IF(OR(E88="",F88=""),"",ABS(E88-F88))</f>
        <v/>
      </c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</row>
    <row r="89">
      <c r="A89" s="31">
        <f>IF(B89="","","TSL-"&amp;TEXT(ROW()-2,"0000"))</f>
        <v/>
      </c>
      <c r="B89" s="23" t="n"/>
      <c r="C89" s="23" t="n"/>
      <c r="D89" s="23" t="n"/>
      <c r="E89" s="23" t="n"/>
      <c r="F89" s="23" t="n"/>
      <c r="G89" s="31">
        <f>IF(OR(E89="",F89=""),"",ABS(E89-F89))</f>
        <v/>
      </c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</row>
    <row r="90">
      <c r="A90" s="32">
        <f>IF(B90="","","TSL-"&amp;TEXT(ROW()-2,"0000"))</f>
        <v/>
      </c>
      <c r="B90" s="29" t="n"/>
      <c r="C90" s="29" t="n"/>
      <c r="D90" s="29" t="n"/>
      <c r="E90" s="29" t="n"/>
      <c r="F90" s="29" t="n"/>
      <c r="G90" s="32">
        <f>IF(OR(E90="",F90=""),"",ABS(E90-F90))</f>
        <v/>
      </c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</row>
    <row r="91">
      <c r="A91" s="31">
        <f>IF(B91="","","TSL-"&amp;TEXT(ROW()-2,"0000"))</f>
        <v/>
      </c>
      <c r="B91" s="23" t="n"/>
      <c r="C91" s="23" t="n"/>
      <c r="D91" s="23" t="n"/>
      <c r="E91" s="23" t="n"/>
      <c r="F91" s="23" t="n"/>
      <c r="G91" s="31">
        <f>IF(OR(E91="",F91=""),"",ABS(E91-F91))</f>
        <v/>
      </c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</row>
    <row r="92">
      <c r="A92" s="32">
        <f>IF(B92="","","TSL-"&amp;TEXT(ROW()-2,"0000"))</f>
        <v/>
      </c>
      <c r="B92" s="29" t="n"/>
      <c r="C92" s="29" t="n"/>
      <c r="D92" s="29" t="n"/>
      <c r="E92" s="29" t="n"/>
      <c r="F92" s="29" t="n"/>
      <c r="G92" s="32">
        <f>IF(OR(E92="",F92=""),"",ABS(E92-F92))</f>
        <v/>
      </c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</row>
    <row r="93">
      <c r="A93" s="31">
        <f>IF(B93="","","TSL-"&amp;TEXT(ROW()-2,"0000"))</f>
        <v/>
      </c>
      <c r="B93" s="23" t="n"/>
      <c r="C93" s="23" t="n"/>
      <c r="D93" s="23" t="n"/>
      <c r="E93" s="23" t="n"/>
      <c r="F93" s="23" t="n"/>
      <c r="G93" s="31">
        <f>IF(OR(E93="",F93=""),"",ABS(E93-F93))</f>
        <v/>
      </c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</row>
    <row r="94">
      <c r="A94" s="32">
        <f>IF(B94="","","TSL-"&amp;TEXT(ROW()-2,"0000"))</f>
        <v/>
      </c>
      <c r="B94" s="29" t="n"/>
      <c r="C94" s="29" t="n"/>
      <c r="D94" s="29" t="n"/>
      <c r="E94" s="29" t="n"/>
      <c r="F94" s="29" t="n"/>
      <c r="G94" s="32">
        <f>IF(OR(E94="",F94=""),"",ABS(E94-F94))</f>
        <v/>
      </c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</row>
    <row r="95">
      <c r="A95" s="31">
        <f>IF(B95="","","TSL-"&amp;TEXT(ROW()-2,"0000"))</f>
        <v/>
      </c>
      <c r="B95" s="23" t="n"/>
      <c r="C95" s="23" t="n"/>
      <c r="D95" s="23" t="n"/>
      <c r="E95" s="23" t="n"/>
      <c r="F95" s="23" t="n"/>
      <c r="G95" s="31">
        <f>IF(OR(E95="",F95=""),"",ABS(E95-F95))</f>
        <v/>
      </c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</row>
    <row r="96">
      <c r="A96" s="32">
        <f>IF(B96="","","TSL-"&amp;TEXT(ROW()-2,"0000"))</f>
        <v/>
      </c>
      <c r="B96" s="29" t="n"/>
      <c r="C96" s="29" t="n"/>
      <c r="D96" s="29" t="n"/>
      <c r="E96" s="29" t="n"/>
      <c r="F96" s="29" t="n"/>
      <c r="G96" s="32">
        <f>IF(OR(E96="",F96=""),"",ABS(E96-F96))</f>
        <v/>
      </c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</row>
    <row r="97">
      <c r="A97" s="31">
        <f>IF(B97="","","TSL-"&amp;TEXT(ROW()-2,"0000"))</f>
        <v/>
      </c>
      <c r="B97" s="23" t="n"/>
      <c r="C97" s="23" t="n"/>
      <c r="D97" s="23" t="n"/>
      <c r="E97" s="23" t="n"/>
      <c r="F97" s="23" t="n"/>
      <c r="G97" s="31">
        <f>IF(OR(E97="",F97=""),"",ABS(E97-F97))</f>
        <v/>
      </c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</row>
    <row r="98">
      <c r="A98" s="32">
        <f>IF(B98="","","TSL-"&amp;TEXT(ROW()-2,"0000"))</f>
        <v/>
      </c>
      <c r="B98" s="29" t="n"/>
      <c r="C98" s="29" t="n"/>
      <c r="D98" s="29" t="n"/>
      <c r="E98" s="29" t="n"/>
      <c r="F98" s="29" t="n"/>
      <c r="G98" s="32">
        <f>IF(OR(E98="",F98=""),"",ABS(E98-F98))</f>
        <v/>
      </c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</row>
    <row r="99">
      <c r="A99" s="31">
        <f>IF(B99="","","TSL-"&amp;TEXT(ROW()-2,"0000"))</f>
        <v/>
      </c>
      <c r="B99" s="23" t="n"/>
      <c r="C99" s="23" t="n"/>
      <c r="D99" s="23" t="n"/>
      <c r="E99" s="23" t="n"/>
      <c r="F99" s="23" t="n"/>
      <c r="G99" s="31">
        <f>IF(OR(E99="",F99=""),"",ABS(E99-F99))</f>
        <v/>
      </c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</row>
    <row r="100">
      <c r="A100" s="32">
        <f>IF(B100="","","TSL-"&amp;TEXT(ROW()-2,"0000"))</f>
        <v/>
      </c>
      <c r="B100" s="29" t="n"/>
      <c r="C100" s="29" t="n"/>
      <c r="D100" s="29" t="n"/>
      <c r="E100" s="29" t="n"/>
      <c r="F100" s="29" t="n"/>
      <c r="G100" s="32">
        <f>IF(OR(E100="",F100=""),"",ABS(E100-F100))</f>
        <v/>
      </c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</row>
    <row r="101">
      <c r="A101" s="31">
        <f>IF(B101="","","TSL-"&amp;TEXT(ROW()-2,"0000"))</f>
        <v/>
      </c>
      <c r="B101" s="23" t="n"/>
      <c r="C101" s="23" t="n"/>
      <c r="D101" s="23" t="n"/>
      <c r="E101" s="23" t="n"/>
      <c r="F101" s="23" t="n"/>
      <c r="G101" s="31">
        <f>IF(OR(E101="",F101=""),"",ABS(E101-F101))</f>
        <v/>
      </c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</row>
    <row r="102">
      <c r="A102" s="32">
        <f>IF(B102="","","TSL-"&amp;TEXT(ROW()-2,"0000"))</f>
        <v/>
      </c>
      <c r="B102" s="29" t="n"/>
      <c r="C102" s="29" t="n"/>
      <c r="D102" s="29" t="n"/>
      <c r="E102" s="29" t="n"/>
      <c r="F102" s="29" t="n"/>
      <c r="G102" s="32">
        <f>IF(OR(E102="",F102=""),"",ABS(E102-F102))</f>
        <v/>
      </c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</row>
    <row r="103">
      <c r="A103" s="31">
        <f>IF(B103="","","TSL-"&amp;TEXT(ROW()-2,"0000"))</f>
        <v/>
      </c>
      <c r="B103" s="23" t="n"/>
      <c r="C103" s="23" t="n"/>
      <c r="D103" s="23" t="n"/>
      <c r="E103" s="23" t="n"/>
      <c r="F103" s="23" t="n"/>
      <c r="G103" s="31">
        <f>IF(OR(E103="",F103=""),"",ABS(E103-F103))</f>
        <v/>
      </c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</row>
    <row r="104">
      <c r="A104" s="32">
        <f>IF(B104="","","TSL-"&amp;TEXT(ROW()-2,"0000"))</f>
        <v/>
      </c>
      <c r="B104" s="29" t="n"/>
      <c r="C104" s="29" t="n"/>
      <c r="D104" s="29" t="n"/>
      <c r="E104" s="29" t="n"/>
      <c r="F104" s="29" t="n"/>
      <c r="G104" s="32">
        <f>IF(OR(E104="",F104=""),"",ABS(E104-F104))</f>
        <v/>
      </c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</row>
    <row r="105">
      <c r="A105" s="31">
        <f>IF(B105="","","TSL-"&amp;TEXT(ROW()-2,"0000"))</f>
        <v/>
      </c>
      <c r="B105" s="23" t="n"/>
      <c r="C105" s="23" t="n"/>
      <c r="D105" s="23" t="n"/>
      <c r="E105" s="23" t="n"/>
      <c r="F105" s="23" t="n"/>
      <c r="G105" s="31">
        <f>IF(OR(E105="",F105=""),"",ABS(E105-F105))</f>
        <v/>
      </c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</row>
    <row r="106">
      <c r="A106" s="32">
        <f>IF(B106="","","TSL-"&amp;TEXT(ROW()-2,"0000"))</f>
        <v/>
      </c>
      <c r="B106" s="29" t="n"/>
      <c r="C106" s="29" t="n"/>
      <c r="D106" s="29" t="n"/>
      <c r="E106" s="29" t="n"/>
      <c r="F106" s="29" t="n"/>
      <c r="G106" s="32">
        <f>IF(OR(E106="",F106=""),"",ABS(E106-F106))</f>
        <v/>
      </c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  <c r="T106" s="29" t="n"/>
    </row>
    <row r="107">
      <c r="A107" s="31">
        <f>IF(B107="","","TSL-"&amp;TEXT(ROW()-2,"0000"))</f>
        <v/>
      </c>
      <c r="B107" s="23" t="n"/>
      <c r="C107" s="23" t="n"/>
      <c r="D107" s="23" t="n"/>
      <c r="E107" s="23" t="n"/>
      <c r="F107" s="23" t="n"/>
      <c r="G107" s="31">
        <f>IF(OR(E107="",F107=""),"",ABS(E107-F107))</f>
        <v/>
      </c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</row>
    <row r="108">
      <c r="A108" s="32">
        <f>IF(B108="","","TSL-"&amp;TEXT(ROW()-2,"0000"))</f>
        <v/>
      </c>
      <c r="B108" s="29" t="n"/>
      <c r="C108" s="29" t="n"/>
      <c r="D108" s="29" t="n"/>
      <c r="E108" s="29" t="n"/>
      <c r="F108" s="29" t="n"/>
      <c r="G108" s="32">
        <f>IF(OR(E108="",F108=""),"",ABS(E108-F108))</f>
        <v/>
      </c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29" t="n"/>
      <c r="R108" s="29" t="n"/>
      <c r="S108" s="29" t="n"/>
      <c r="T108" s="29" t="n"/>
    </row>
    <row r="109">
      <c r="A109" s="31">
        <f>IF(B109="","","TSL-"&amp;TEXT(ROW()-2,"0000"))</f>
        <v/>
      </c>
      <c r="B109" s="23" t="n"/>
      <c r="C109" s="23" t="n"/>
      <c r="D109" s="23" t="n"/>
      <c r="E109" s="23" t="n"/>
      <c r="F109" s="23" t="n"/>
      <c r="G109" s="31">
        <f>IF(OR(E109="",F109=""),"",ABS(E109-F109))</f>
        <v/>
      </c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</row>
    <row r="110">
      <c r="A110" s="32">
        <f>IF(B110="","","TSL-"&amp;TEXT(ROW()-2,"0000"))</f>
        <v/>
      </c>
      <c r="B110" s="29" t="n"/>
      <c r="C110" s="29" t="n"/>
      <c r="D110" s="29" t="n"/>
      <c r="E110" s="29" t="n"/>
      <c r="F110" s="29" t="n"/>
      <c r="G110" s="32">
        <f>IF(OR(E110="",F110=""),"",ABS(E110-F110))</f>
        <v/>
      </c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</row>
    <row r="111">
      <c r="A111" s="31">
        <f>IF(B111="","","TSL-"&amp;TEXT(ROW()-2,"0000"))</f>
        <v/>
      </c>
      <c r="B111" s="23" t="n"/>
      <c r="C111" s="23" t="n"/>
      <c r="D111" s="23" t="n"/>
      <c r="E111" s="23" t="n"/>
      <c r="F111" s="23" t="n"/>
      <c r="G111" s="31">
        <f>IF(OR(E111="",F111=""),"",ABS(E111-F111))</f>
        <v/>
      </c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</row>
    <row r="112">
      <c r="A112" s="32">
        <f>IF(B112="","","TSL-"&amp;TEXT(ROW()-2,"0000"))</f>
        <v/>
      </c>
      <c r="B112" s="29" t="n"/>
      <c r="C112" s="29" t="n"/>
      <c r="D112" s="29" t="n"/>
      <c r="E112" s="29" t="n"/>
      <c r="F112" s="29" t="n"/>
      <c r="G112" s="32">
        <f>IF(OR(E112="",F112=""),"",ABS(E112-F112))</f>
        <v/>
      </c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</row>
    <row r="113">
      <c r="A113" s="31">
        <f>IF(B113="","","TSL-"&amp;TEXT(ROW()-2,"0000"))</f>
        <v/>
      </c>
      <c r="B113" s="23" t="n"/>
      <c r="C113" s="23" t="n"/>
      <c r="D113" s="23" t="n"/>
      <c r="E113" s="23" t="n"/>
      <c r="F113" s="23" t="n"/>
      <c r="G113" s="31">
        <f>IF(OR(E113="",F113=""),"",ABS(E113-F113))</f>
        <v/>
      </c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</row>
    <row r="114">
      <c r="A114" s="32">
        <f>IF(B114="","","TSL-"&amp;TEXT(ROW()-2,"0000"))</f>
        <v/>
      </c>
      <c r="B114" s="29" t="n"/>
      <c r="C114" s="29" t="n"/>
      <c r="D114" s="29" t="n"/>
      <c r="E114" s="29" t="n"/>
      <c r="F114" s="29" t="n"/>
      <c r="G114" s="32">
        <f>IF(OR(E114="",F114=""),"",ABS(E114-F114))</f>
        <v/>
      </c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</row>
    <row r="115">
      <c r="A115" s="31">
        <f>IF(B115="","","TSL-"&amp;TEXT(ROW()-2,"0000"))</f>
        <v/>
      </c>
      <c r="B115" s="23" t="n"/>
      <c r="C115" s="23" t="n"/>
      <c r="D115" s="23" t="n"/>
      <c r="E115" s="23" t="n"/>
      <c r="F115" s="23" t="n"/>
      <c r="G115" s="31">
        <f>IF(OR(E115="",F115=""),"",ABS(E115-F115))</f>
        <v/>
      </c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</row>
    <row r="116">
      <c r="A116" s="32">
        <f>IF(B116="","","TSL-"&amp;TEXT(ROW()-2,"0000"))</f>
        <v/>
      </c>
      <c r="B116" s="29" t="n"/>
      <c r="C116" s="29" t="n"/>
      <c r="D116" s="29" t="n"/>
      <c r="E116" s="29" t="n"/>
      <c r="F116" s="29" t="n"/>
      <c r="G116" s="32">
        <f>IF(OR(E116="",F116=""),"",ABS(E116-F116))</f>
        <v/>
      </c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</row>
    <row r="117">
      <c r="A117" s="31">
        <f>IF(B117="","","TSL-"&amp;TEXT(ROW()-2,"0000"))</f>
        <v/>
      </c>
      <c r="B117" s="23" t="n"/>
      <c r="C117" s="23" t="n"/>
      <c r="D117" s="23" t="n"/>
      <c r="E117" s="23" t="n"/>
      <c r="F117" s="23" t="n"/>
      <c r="G117" s="31">
        <f>IF(OR(E117="",F117=""),"",ABS(E117-F117))</f>
        <v/>
      </c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</row>
    <row r="118">
      <c r="A118" s="32">
        <f>IF(B118="","","TSL-"&amp;TEXT(ROW()-2,"0000"))</f>
        <v/>
      </c>
      <c r="B118" s="29" t="n"/>
      <c r="C118" s="29" t="n"/>
      <c r="D118" s="29" t="n"/>
      <c r="E118" s="29" t="n"/>
      <c r="F118" s="29" t="n"/>
      <c r="G118" s="32">
        <f>IF(OR(E118="",F118=""),"",ABS(E118-F118))</f>
        <v/>
      </c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</row>
    <row r="119">
      <c r="A119" s="31">
        <f>IF(B119="","","TSL-"&amp;TEXT(ROW()-2,"0000"))</f>
        <v/>
      </c>
      <c r="B119" s="23" t="n"/>
      <c r="C119" s="23" t="n"/>
      <c r="D119" s="23" t="n"/>
      <c r="E119" s="23" t="n"/>
      <c r="F119" s="23" t="n"/>
      <c r="G119" s="31">
        <f>IF(OR(E119="",F119=""),"",ABS(E119-F119))</f>
        <v/>
      </c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</row>
    <row r="120">
      <c r="A120" s="32">
        <f>IF(B120="","","TSL-"&amp;TEXT(ROW()-2,"0000"))</f>
        <v/>
      </c>
      <c r="B120" s="29" t="n"/>
      <c r="C120" s="29" t="n"/>
      <c r="D120" s="29" t="n"/>
      <c r="E120" s="29" t="n"/>
      <c r="F120" s="29" t="n"/>
      <c r="G120" s="32">
        <f>IF(OR(E120="",F120=""),"",ABS(E120-F120))</f>
        <v/>
      </c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  <c r="T120" s="29" t="n"/>
    </row>
    <row r="121">
      <c r="A121" s="31">
        <f>IF(B121="","","TSL-"&amp;TEXT(ROW()-2,"0000"))</f>
        <v/>
      </c>
      <c r="B121" s="23" t="n"/>
      <c r="C121" s="23" t="n"/>
      <c r="D121" s="23" t="n"/>
      <c r="E121" s="23" t="n"/>
      <c r="F121" s="23" t="n"/>
      <c r="G121" s="31">
        <f>IF(OR(E121="",F121=""),"",ABS(E121-F121))</f>
        <v/>
      </c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</row>
    <row r="122">
      <c r="A122" s="32">
        <f>IF(B122="","","TSL-"&amp;TEXT(ROW()-2,"0000"))</f>
        <v/>
      </c>
      <c r="B122" s="29" t="n"/>
      <c r="C122" s="29" t="n"/>
      <c r="D122" s="29" t="n"/>
      <c r="E122" s="29" t="n"/>
      <c r="F122" s="29" t="n"/>
      <c r="G122" s="32">
        <f>IF(OR(E122="",F122=""),"",ABS(E122-F122))</f>
        <v/>
      </c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29" t="n"/>
      <c r="R122" s="29" t="n"/>
      <c r="S122" s="29" t="n"/>
      <c r="T122" s="29" t="n"/>
    </row>
    <row r="123">
      <c r="A123" s="31">
        <f>IF(B123="","","TSL-"&amp;TEXT(ROW()-2,"0000"))</f>
        <v/>
      </c>
      <c r="B123" s="23" t="n"/>
      <c r="C123" s="23" t="n"/>
      <c r="D123" s="23" t="n"/>
      <c r="E123" s="23" t="n"/>
      <c r="F123" s="23" t="n"/>
      <c r="G123" s="31">
        <f>IF(OR(E123="",F123=""),"",ABS(E123-F123))</f>
        <v/>
      </c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</row>
    <row r="124">
      <c r="A124" s="32">
        <f>IF(B124="","","TSL-"&amp;TEXT(ROW()-2,"0000"))</f>
        <v/>
      </c>
      <c r="B124" s="29" t="n"/>
      <c r="C124" s="29" t="n"/>
      <c r="D124" s="29" t="n"/>
      <c r="E124" s="29" t="n"/>
      <c r="F124" s="29" t="n"/>
      <c r="G124" s="32">
        <f>IF(OR(E124="",F124=""),"",ABS(E124-F124))</f>
        <v/>
      </c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</row>
    <row r="125">
      <c r="A125" s="31">
        <f>IF(B125="","","TSL-"&amp;TEXT(ROW()-2,"0000"))</f>
        <v/>
      </c>
      <c r="B125" s="23" t="n"/>
      <c r="C125" s="23" t="n"/>
      <c r="D125" s="23" t="n"/>
      <c r="E125" s="23" t="n"/>
      <c r="F125" s="23" t="n"/>
      <c r="G125" s="31">
        <f>IF(OR(E125="",F125=""),"",ABS(E125-F125))</f>
        <v/>
      </c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</row>
    <row r="126">
      <c r="A126" s="32">
        <f>IF(B126="","","TSL-"&amp;TEXT(ROW()-2,"0000"))</f>
        <v/>
      </c>
      <c r="B126" s="29" t="n"/>
      <c r="C126" s="29" t="n"/>
      <c r="D126" s="29" t="n"/>
      <c r="E126" s="29" t="n"/>
      <c r="F126" s="29" t="n"/>
      <c r="G126" s="32">
        <f>IF(OR(E126="",F126=""),"",ABS(E126-F126))</f>
        <v/>
      </c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</row>
    <row r="127">
      <c r="A127" s="31">
        <f>IF(B127="","","TSL-"&amp;TEXT(ROW()-2,"0000"))</f>
        <v/>
      </c>
      <c r="B127" s="23" t="n"/>
      <c r="C127" s="23" t="n"/>
      <c r="D127" s="23" t="n"/>
      <c r="E127" s="23" t="n"/>
      <c r="F127" s="23" t="n"/>
      <c r="G127" s="31">
        <f>IF(OR(E127="",F127=""),"",ABS(E127-F127))</f>
        <v/>
      </c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</row>
    <row r="128">
      <c r="A128" s="32">
        <f>IF(B128="","","TSL-"&amp;TEXT(ROW()-2,"0000"))</f>
        <v/>
      </c>
      <c r="B128" s="29" t="n"/>
      <c r="C128" s="29" t="n"/>
      <c r="D128" s="29" t="n"/>
      <c r="E128" s="29" t="n"/>
      <c r="F128" s="29" t="n"/>
      <c r="G128" s="32">
        <f>IF(OR(E128="",F128=""),"",ABS(E128-F128))</f>
        <v/>
      </c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29" t="n"/>
      <c r="R128" s="29" t="n"/>
      <c r="S128" s="29" t="n"/>
      <c r="T128" s="29" t="n"/>
    </row>
    <row r="129">
      <c r="A129" s="31">
        <f>IF(B129="","","TSL-"&amp;TEXT(ROW()-2,"0000"))</f>
        <v/>
      </c>
      <c r="B129" s="23" t="n"/>
      <c r="C129" s="23" t="n"/>
      <c r="D129" s="23" t="n"/>
      <c r="E129" s="23" t="n"/>
      <c r="F129" s="23" t="n"/>
      <c r="G129" s="31">
        <f>IF(OR(E129="",F129=""),"",ABS(E129-F129))</f>
        <v/>
      </c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</row>
    <row r="130">
      <c r="A130" s="32">
        <f>IF(B130="","","TSL-"&amp;TEXT(ROW()-2,"0000"))</f>
        <v/>
      </c>
      <c r="B130" s="29" t="n"/>
      <c r="C130" s="29" t="n"/>
      <c r="D130" s="29" t="n"/>
      <c r="E130" s="29" t="n"/>
      <c r="F130" s="29" t="n"/>
      <c r="G130" s="32">
        <f>IF(OR(E130="",F130=""),"",ABS(E130-F130))</f>
        <v/>
      </c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29" t="n"/>
      <c r="R130" s="29" t="n"/>
      <c r="S130" s="29" t="n"/>
      <c r="T130" s="29" t="n"/>
    </row>
    <row r="131">
      <c r="A131" s="31">
        <f>IF(B131="","","TSL-"&amp;TEXT(ROW()-2,"0000"))</f>
        <v/>
      </c>
      <c r="B131" s="23" t="n"/>
      <c r="C131" s="23" t="n"/>
      <c r="D131" s="23" t="n"/>
      <c r="E131" s="23" t="n"/>
      <c r="F131" s="23" t="n"/>
      <c r="G131" s="31">
        <f>IF(OR(E131="",F131=""),"",ABS(E131-F131))</f>
        <v/>
      </c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</row>
    <row r="132">
      <c r="A132" s="32">
        <f>IF(B132="","","TSL-"&amp;TEXT(ROW()-2,"0000"))</f>
        <v/>
      </c>
      <c r="B132" s="29" t="n"/>
      <c r="C132" s="29" t="n"/>
      <c r="D132" s="29" t="n"/>
      <c r="E132" s="29" t="n"/>
      <c r="F132" s="29" t="n"/>
      <c r="G132" s="32">
        <f>IF(OR(E132="",F132=""),"",ABS(E132-F132))</f>
        <v/>
      </c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</row>
    <row r="133">
      <c r="A133" s="31">
        <f>IF(B133="","","TSL-"&amp;TEXT(ROW()-2,"0000"))</f>
        <v/>
      </c>
      <c r="B133" s="23" t="n"/>
      <c r="C133" s="23" t="n"/>
      <c r="D133" s="23" t="n"/>
      <c r="E133" s="23" t="n"/>
      <c r="F133" s="23" t="n"/>
      <c r="G133" s="31">
        <f>IF(OR(E133="",F133=""),"",ABS(E133-F133))</f>
        <v/>
      </c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</row>
    <row r="134">
      <c r="A134" s="32">
        <f>IF(B134="","","TSL-"&amp;TEXT(ROW()-2,"0000"))</f>
        <v/>
      </c>
      <c r="B134" s="29" t="n"/>
      <c r="C134" s="29" t="n"/>
      <c r="D134" s="29" t="n"/>
      <c r="E134" s="29" t="n"/>
      <c r="F134" s="29" t="n"/>
      <c r="G134" s="32">
        <f>IF(OR(E134="",F134=""),"",ABS(E134-F134))</f>
        <v/>
      </c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29" t="n"/>
      <c r="R134" s="29" t="n"/>
      <c r="S134" s="29" t="n"/>
      <c r="T134" s="29" t="n"/>
    </row>
    <row r="135">
      <c r="A135" s="31">
        <f>IF(B135="","","TSL-"&amp;TEXT(ROW()-2,"0000"))</f>
        <v/>
      </c>
      <c r="B135" s="23" t="n"/>
      <c r="C135" s="23" t="n"/>
      <c r="D135" s="23" t="n"/>
      <c r="E135" s="23" t="n"/>
      <c r="F135" s="23" t="n"/>
      <c r="G135" s="31">
        <f>IF(OR(E135="",F135=""),"",ABS(E135-F135))</f>
        <v/>
      </c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</row>
    <row r="136">
      <c r="A136" s="32">
        <f>IF(B136="","","TSL-"&amp;TEXT(ROW()-2,"0000"))</f>
        <v/>
      </c>
      <c r="B136" s="29" t="n"/>
      <c r="C136" s="29" t="n"/>
      <c r="D136" s="29" t="n"/>
      <c r="E136" s="29" t="n"/>
      <c r="F136" s="29" t="n"/>
      <c r="G136" s="32">
        <f>IF(OR(E136="",F136=""),"",ABS(E136-F136))</f>
        <v/>
      </c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29" t="n"/>
      <c r="R136" s="29" t="n"/>
      <c r="S136" s="29" t="n"/>
      <c r="T136" s="29" t="n"/>
    </row>
    <row r="137">
      <c r="A137" s="31">
        <f>IF(B137="","","TSL-"&amp;TEXT(ROW()-2,"0000"))</f>
        <v/>
      </c>
      <c r="B137" s="23" t="n"/>
      <c r="C137" s="23" t="n"/>
      <c r="D137" s="23" t="n"/>
      <c r="E137" s="23" t="n"/>
      <c r="F137" s="23" t="n"/>
      <c r="G137" s="31">
        <f>IF(OR(E137="",F137=""),"",ABS(E137-F137))</f>
        <v/>
      </c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</row>
    <row r="138">
      <c r="A138" s="32">
        <f>IF(B138="","","TSL-"&amp;TEXT(ROW()-2,"0000"))</f>
        <v/>
      </c>
      <c r="B138" s="29" t="n"/>
      <c r="C138" s="29" t="n"/>
      <c r="D138" s="29" t="n"/>
      <c r="E138" s="29" t="n"/>
      <c r="F138" s="29" t="n"/>
      <c r="G138" s="32">
        <f>IF(OR(E138="",F138=""),"",ABS(E138-F138))</f>
        <v/>
      </c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29" t="n"/>
      <c r="R138" s="29" t="n"/>
      <c r="S138" s="29" t="n"/>
      <c r="T138" s="29" t="n"/>
    </row>
    <row r="139">
      <c r="A139" s="31">
        <f>IF(B139="","","TSL-"&amp;TEXT(ROW()-2,"0000"))</f>
        <v/>
      </c>
      <c r="B139" s="23" t="n"/>
      <c r="C139" s="23" t="n"/>
      <c r="D139" s="23" t="n"/>
      <c r="E139" s="23" t="n"/>
      <c r="F139" s="23" t="n"/>
      <c r="G139" s="31">
        <f>IF(OR(E139="",F139=""),"",ABS(E139-F139))</f>
        <v/>
      </c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</row>
    <row r="140">
      <c r="A140" s="32">
        <f>IF(B140="","","TSL-"&amp;TEXT(ROW()-2,"0000"))</f>
        <v/>
      </c>
      <c r="B140" s="29" t="n"/>
      <c r="C140" s="29" t="n"/>
      <c r="D140" s="29" t="n"/>
      <c r="E140" s="29" t="n"/>
      <c r="F140" s="29" t="n"/>
      <c r="G140" s="32">
        <f>IF(OR(E140="",F140=""),"",ABS(E140-F140))</f>
        <v/>
      </c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29" t="n"/>
      <c r="R140" s="29" t="n"/>
      <c r="S140" s="29" t="n"/>
      <c r="T140" s="29" t="n"/>
    </row>
    <row r="141">
      <c r="A141" s="31">
        <f>IF(B141="","","TSL-"&amp;TEXT(ROW()-2,"0000"))</f>
        <v/>
      </c>
      <c r="B141" s="23" t="n"/>
      <c r="C141" s="23" t="n"/>
      <c r="D141" s="23" t="n"/>
      <c r="E141" s="23" t="n"/>
      <c r="F141" s="23" t="n"/>
      <c r="G141" s="31">
        <f>IF(OR(E141="",F141=""),"",ABS(E141-F141))</f>
        <v/>
      </c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</row>
    <row r="142">
      <c r="A142" s="32">
        <f>IF(B142="","","TSL-"&amp;TEXT(ROW()-2,"0000"))</f>
        <v/>
      </c>
      <c r="B142" s="29" t="n"/>
      <c r="C142" s="29" t="n"/>
      <c r="D142" s="29" t="n"/>
      <c r="E142" s="29" t="n"/>
      <c r="F142" s="29" t="n"/>
      <c r="G142" s="32">
        <f>IF(OR(E142="",F142=""),"",ABS(E142-F142))</f>
        <v/>
      </c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29" t="n"/>
      <c r="R142" s="29" t="n"/>
      <c r="S142" s="29" t="n"/>
      <c r="T142" s="29" t="n"/>
    </row>
    <row r="143">
      <c r="A143" s="31">
        <f>IF(B143="","","TSL-"&amp;TEXT(ROW()-2,"0000"))</f>
        <v/>
      </c>
      <c r="B143" s="23" t="n"/>
      <c r="C143" s="23" t="n"/>
      <c r="D143" s="23" t="n"/>
      <c r="E143" s="23" t="n"/>
      <c r="F143" s="23" t="n"/>
      <c r="G143" s="31">
        <f>IF(OR(E143="",F143=""),"",ABS(E143-F143))</f>
        <v/>
      </c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</row>
    <row r="144">
      <c r="A144" s="32">
        <f>IF(B144="","","TSL-"&amp;TEXT(ROW()-2,"0000"))</f>
        <v/>
      </c>
      <c r="B144" s="29" t="n"/>
      <c r="C144" s="29" t="n"/>
      <c r="D144" s="29" t="n"/>
      <c r="E144" s="29" t="n"/>
      <c r="F144" s="29" t="n"/>
      <c r="G144" s="32">
        <f>IF(OR(E144="",F144=""),"",ABS(E144-F144))</f>
        <v/>
      </c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29" t="n"/>
      <c r="R144" s="29" t="n"/>
      <c r="S144" s="29" t="n"/>
      <c r="T144" s="29" t="n"/>
    </row>
    <row r="145">
      <c r="A145" s="31">
        <f>IF(B145="","","TSL-"&amp;TEXT(ROW()-2,"0000"))</f>
        <v/>
      </c>
      <c r="B145" s="23" t="n"/>
      <c r="C145" s="23" t="n"/>
      <c r="D145" s="23" t="n"/>
      <c r="E145" s="23" t="n"/>
      <c r="F145" s="23" t="n"/>
      <c r="G145" s="31">
        <f>IF(OR(E145="",F145=""),"",ABS(E145-F145))</f>
        <v/>
      </c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</row>
    <row r="146">
      <c r="A146" s="32">
        <f>IF(B146="","","TSL-"&amp;TEXT(ROW()-2,"0000"))</f>
        <v/>
      </c>
      <c r="B146" s="29" t="n"/>
      <c r="C146" s="29" t="n"/>
      <c r="D146" s="29" t="n"/>
      <c r="E146" s="29" t="n"/>
      <c r="F146" s="29" t="n"/>
      <c r="G146" s="32">
        <f>IF(OR(E146="",F146=""),"",ABS(E146-F146))</f>
        <v/>
      </c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29" t="n"/>
      <c r="R146" s="29" t="n"/>
      <c r="S146" s="29" t="n"/>
      <c r="T146" s="29" t="n"/>
    </row>
    <row r="147">
      <c r="A147" s="31">
        <f>IF(B147="","","TSL-"&amp;TEXT(ROW()-2,"0000"))</f>
        <v/>
      </c>
      <c r="B147" s="23" t="n"/>
      <c r="C147" s="23" t="n"/>
      <c r="D147" s="23" t="n"/>
      <c r="E147" s="23" t="n"/>
      <c r="F147" s="23" t="n"/>
      <c r="G147" s="31">
        <f>IF(OR(E147="",F147=""),"",ABS(E147-F147))</f>
        <v/>
      </c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</row>
    <row r="148">
      <c r="A148" s="32">
        <f>IF(B148="","","TSL-"&amp;TEXT(ROW()-2,"0000"))</f>
        <v/>
      </c>
      <c r="B148" s="29" t="n"/>
      <c r="C148" s="29" t="n"/>
      <c r="D148" s="29" t="n"/>
      <c r="E148" s="29" t="n"/>
      <c r="F148" s="29" t="n"/>
      <c r="G148" s="32">
        <f>IF(OR(E148="",F148=""),"",ABS(E148-F148))</f>
        <v/>
      </c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29" t="n"/>
      <c r="R148" s="29" t="n"/>
      <c r="S148" s="29" t="n"/>
      <c r="T148" s="29" t="n"/>
    </row>
    <row r="149">
      <c r="A149" s="31">
        <f>IF(B149="","","TSL-"&amp;TEXT(ROW()-2,"0000"))</f>
        <v/>
      </c>
      <c r="B149" s="23" t="n"/>
      <c r="C149" s="23" t="n"/>
      <c r="D149" s="23" t="n"/>
      <c r="E149" s="23" t="n"/>
      <c r="F149" s="23" t="n"/>
      <c r="G149" s="31">
        <f>IF(OR(E149="",F149=""),"",ABS(E149-F149))</f>
        <v/>
      </c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</row>
    <row r="150">
      <c r="A150" s="32">
        <f>IF(B150="","","TSL-"&amp;TEXT(ROW()-2,"0000"))</f>
        <v/>
      </c>
      <c r="B150" s="29" t="n"/>
      <c r="C150" s="29" t="n"/>
      <c r="D150" s="29" t="n"/>
      <c r="E150" s="29" t="n"/>
      <c r="F150" s="29" t="n"/>
      <c r="G150" s="32">
        <f>IF(OR(E150="",F150=""),"",ABS(E150-F150))</f>
        <v/>
      </c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</row>
    <row r="151">
      <c r="A151" s="31">
        <f>IF(B151="","","TSL-"&amp;TEXT(ROW()-2,"0000"))</f>
        <v/>
      </c>
      <c r="B151" s="23" t="n"/>
      <c r="C151" s="23" t="n"/>
      <c r="D151" s="23" t="n"/>
      <c r="E151" s="23" t="n"/>
      <c r="F151" s="23" t="n"/>
      <c r="G151" s="31">
        <f>IF(OR(E151="",F151=""),"",ABS(E151-F151))</f>
        <v/>
      </c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</row>
    <row r="152">
      <c r="A152" s="32">
        <f>IF(B152="","","TSL-"&amp;TEXT(ROW()-2,"0000"))</f>
        <v/>
      </c>
      <c r="B152" s="29" t="n"/>
      <c r="C152" s="29" t="n"/>
      <c r="D152" s="29" t="n"/>
      <c r="E152" s="29" t="n"/>
      <c r="F152" s="29" t="n"/>
      <c r="G152" s="32">
        <f>IF(OR(E152="",F152=""),"",ABS(E152-F152))</f>
        <v/>
      </c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29" t="n"/>
      <c r="R152" s="29" t="n"/>
      <c r="S152" s="29" t="n"/>
      <c r="T152" s="29" t="n"/>
    </row>
    <row r="153">
      <c r="A153" s="31">
        <f>IF(B153="","","TSL-"&amp;TEXT(ROW()-2,"0000"))</f>
        <v/>
      </c>
      <c r="B153" s="23" t="n"/>
      <c r="C153" s="23" t="n"/>
      <c r="D153" s="23" t="n"/>
      <c r="E153" s="23" t="n"/>
      <c r="F153" s="23" t="n"/>
      <c r="G153" s="31">
        <f>IF(OR(E153="",F153=""),"",ABS(E153-F153))</f>
        <v/>
      </c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</row>
    <row r="154">
      <c r="A154" s="32">
        <f>IF(B154="","","TSL-"&amp;TEXT(ROW()-2,"0000"))</f>
        <v/>
      </c>
      <c r="B154" s="29" t="n"/>
      <c r="C154" s="29" t="n"/>
      <c r="D154" s="29" t="n"/>
      <c r="E154" s="29" t="n"/>
      <c r="F154" s="29" t="n"/>
      <c r="G154" s="32">
        <f>IF(OR(E154="",F154=""),"",ABS(E154-F154))</f>
        <v/>
      </c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</row>
    <row r="155">
      <c r="A155" s="31">
        <f>IF(B155="","","TSL-"&amp;TEXT(ROW()-2,"0000"))</f>
        <v/>
      </c>
      <c r="B155" s="23" t="n"/>
      <c r="C155" s="23" t="n"/>
      <c r="D155" s="23" t="n"/>
      <c r="E155" s="23" t="n"/>
      <c r="F155" s="23" t="n"/>
      <c r="G155" s="31">
        <f>IF(OR(E155="",F155=""),"",ABS(E155-F155))</f>
        <v/>
      </c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</row>
    <row r="156">
      <c r="A156" s="32">
        <f>IF(B156="","","TSL-"&amp;TEXT(ROW()-2,"0000"))</f>
        <v/>
      </c>
      <c r="B156" s="29" t="n"/>
      <c r="C156" s="29" t="n"/>
      <c r="D156" s="29" t="n"/>
      <c r="E156" s="29" t="n"/>
      <c r="F156" s="29" t="n"/>
      <c r="G156" s="32">
        <f>IF(OR(E156="",F156=""),"",ABS(E156-F156))</f>
        <v/>
      </c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</row>
    <row r="157">
      <c r="A157" s="31">
        <f>IF(B157="","","TSL-"&amp;TEXT(ROW()-2,"0000"))</f>
        <v/>
      </c>
      <c r="B157" s="23" t="n"/>
      <c r="C157" s="23" t="n"/>
      <c r="D157" s="23" t="n"/>
      <c r="E157" s="23" t="n"/>
      <c r="F157" s="23" t="n"/>
      <c r="G157" s="31">
        <f>IF(OR(E157="",F157=""),"",ABS(E157-F157))</f>
        <v/>
      </c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</row>
    <row r="158">
      <c r="A158" s="32">
        <f>IF(B158="","","TSL-"&amp;TEXT(ROW()-2,"0000"))</f>
        <v/>
      </c>
      <c r="B158" s="29" t="n"/>
      <c r="C158" s="29" t="n"/>
      <c r="D158" s="29" t="n"/>
      <c r="E158" s="29" t="n"/>
      <c r="F158" s="29" t="n"/>
      <c r="G158" s="32">
        <f>IF(OR(E158="",F158=""),"",ABS(E158-F158))</f>
        <v/>
      </c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</row>
    <row r="159">
      <c r="A159" s="31">
        <f>IF(B159="","","TSL-"&amp;TEXT(ROW()-2,"0000"))</f>
        <v/>
      </c>
      <c r="B159" s="23" t="n"/>
      <c r="C159" s="23" t="n"/>
      <c r="D159" s="23" t="n"/>
      <c r="E159" s="23" t="n"/>
      <c r="F159" s="23" t="n"/>
      <c r="G159" s="31">
        <f>IF(OR(E159="",F159=""),"",ABS(E159-F159))</f>
        <v/>
      </c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</row>
    <row r="160">
      <c r="A160" s="32">
        <f>IF(B160="","","TSL-"&amp;TEXT(ROW()-2,"0000"))</f>
        <v/>
      </c>
      <c r="B160" s="29" t="n"/>
      <c r="C160" s="29" t="n"/>
      <c r="D160" s="29" t="n"/>
      <c r="E160" s="29" t="n"/>
      <c r="F160" s="29" t="n"/>
      <c r="G160" s="32">
        <f>IF(OR(E160="",F160=""),"",ABS(E160-F160))</f>
        <v/>
      </c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</row>
    <row r="161">
      <c r="A161" s="31">
        <f>IF(B161="","","TSL-"&amp;TEXT(ROW()-2,"0000"))</f>
        <v/>
      </c>
      <c r="B161" s="23" t="n"/>
      <c r="C161" s="23" t="n"/>
      <c r="D161" s="23" t="n"/>
      <c r="E161" s="23" t="n"/>
      <c r="F161" s="23" t="n"/>
      <c r="G161" s="31">
        <f>IF(OR(E161="",F161=""),"",ABS(E161-F161))</f>
        <v/>
      </c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</row>
    <row r="162">
      <c r="A162" s="32">
        <f>IF(B162="","","TSL-"&amp;TEXT(ROW()-2,"0000"))</f>
        <v/>
      </c>
      <c r="B162" s="29" t="n"/>
      <c r="C162" s="29" t="n"/>
      <c r="D162" s="29" t="n"/>
      <c r="E162" s="29" t="n"/>
      <c r="F162" s="29" t="n"/>
      <c r="G162" s="32">
        <f>IF(OR(E162="",F162=""),"",ABS(E162-F162))</f>
        <v/>
      </c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29" t="n"/>
      <c r="R162" s="29" t="n"/>
      <c r="S162" s="29" t="n"/>
      <c r="T162" s="29" t="n"/>
    </row>
    <row r="163">
      <c r="A163" s="31">
        <f>IF(B163="","","TSL-"&amp;TEXT(ROW()-2,"0000"))</f>
        <v/>
      </c>
      <c r="B163" s="23" t="n"/>
      <c r="C163" s="23" t="n"/>
      <c r="D163" s="23" t="n"/>
      <c r="E163" s="23" t="n"/>
      <c r="F163" s="23" t="n"/>
      <c r="G163" s="31">
        <f>IF(OR(E163="",F163=""),"",ABS(E163-F163))</f>
        <v/>
      </c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</row>
    <row r="164">
      <c r="A164" s="32">
        <f>IF(B164="","","TSL-"&amp;TEXT(ROW()-2,"0000"))</f>
        <v/>
      </c>
      <c r="B164" s="29" t="n"/>
      <c r="C164" s="29" t="n"/>
      <c r="D164" s="29" t="n"/>
      <c r="E164" s="29" t="n"/>
      <c r="F164" s="29" t="n"/>
      <c r="G164" s="32">
        <f>IF(OR(E164="",F164=""),"",ABS(E164-F164))</f>
        <v/>
      </c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29" t="n"/>
      <c r="R164" s="29" t="n"/>
      <c r="S164" s="29" t="n"/>
      <c r="T164" s="29" t="n"/>
    </row>
    <row r="165">
      <c r="A165" s="31">
        <f>IF(B165="","","TSL-"&amp;TEXT(ROW()-2,"0000"))</f>
        <v/>
      </c>
      <c r="B165" s="23" t="n"/>
      <c r="C165" s="23" t="n"/>
      <c r="D165" s="23" t="n"/>
      <c r="E165" s="23" t="n"/>
      <c r="F165" s="23" t="n"/>
      <c r="G165" s="31">
        <f>IF(OR(E165="",F165=""),"",ABS(E165-F165))</f>
        <v/>
      </c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</row>
    <row r="166">
      <c r="A166" s="32">
        <f>IF(B166="","","TSL-"&amp;TEXT(ROW()-2,"0000"))</f>
        <v/>
      </c>
      <c r="B166" s="29" t="n"/>
      <c r="C166" s="29" t="n"/>
      <c r="D166" s="29" t="n"/>
      <c r="E166" s="29" t="n"/>
      <c r="F166" s="29" t="n"/>
      <c r="G166" s="32">
        <f>IF(OR(E166="",F166=""),"",ABS(E166-F166))</f>
        <v/>
      </c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29" t="n"/>
      <c r="R166" s="29" t="n"/>
      <c r="S166" s="29" t="n"/>
      <c r="T166" s="29" t="n"/>
    </row>
    <row r="167">
      <c r="A167" s="31">
        <f>IF(B167="","","TSL-"&amp;TEXT(ROW()-2,"0000"))</f>
        <v/>
      </c>
      <c r="B167" s="23" t="n"/>
      <c r="C167" s="23" t="n"/>
      <c r="D167" s="23" t="n"/>
      <c r="E167" s="23" t="n"/>
      <c r="F167" s="23" t="n"/>
      <c r="G167" s="31">
        <f>IF(OR(E167="",F167=""),"",ABS(E167-F167))</f>
        <v/>
      </c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</row>
    <row r="168">
      <c r="A168" s="32">
        <f>IF(B168="","","TSL-"&amp;TEXT(ROW()-2,"0000"))</f>
        <v/>
      </c>
      <c r="B168" s="29" t="n"/>
      <c r="C168" s="29" t="n"/>
      <c r="D168" s="29" t="n"/>
      <c r="E168" s="29" t="n"/>
      <c r="F168" s="29" t="n"/>
      <c r="G168" s="32">
        <f>IF(OR(E168="",F168=""),"",ABS(E168-F168))</f>
        <v/>
      </c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29" t="n"/>
      <c r="R168" s="29" t="n"/>
      <c r="S168" s="29" t="n"/>
      <c r="T168" s="29" t="n"/>
    </row>
    <row r="169">
      <c r="A169" s="31">
        <f>IF(B169="","","TSL-"&amp;TEXT(ROW()-2,"0000"))</f>
        <v/>
      </c>
      <c r="B169" s="23" t="n"/>
      <c r="C169" s="23" t="n"/>
      <c r="D169" s="23" t="n"/>
      <c r="E169" s="23" t="n"/>
      <c r="F169" s="23" t="n"/>
      <c r="G169" s="31">
        <f>IF(OR(E169="",F169=""),"",ABS(E169-F169))</f>
        <v/>
      </c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</row>
    <row r="170">
      <c r="A170" s="32">
        <f>IF(B170="","","TSL-"&amp;TEXT(ROW()-2,"0000"))</f>
        <v/>
      </c>
      <c r="B170" s="29" t="n"/>
      <c r="C170" s="29" t="n"/>
      <c r="D170" s="29" t="n"/>
      <c r="E170" s="29" t="n"/>
      <c r="F170" s="29" t="n"/>
      <c r="G170" s="32">
        <f>IF(OR(E170="",F170=""),"",ABS(E170-F170))</f>
        <v/>
      </c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29" t="n"/>
      <c r="R170" s="29" t="n"/>
      <c r="S170" s="29" t="n"/>
      <c r="T170" s="29" t="n"/>
    </row>
    <row r="171">
      <c r="A171" s="31">
        <f>IF(B171="","","TSL-"&amp;TEXT(ROW()-2,"0000"))</f>
        <v/>
      </c>
      <c r="B171" s="23" t="n"/>
      <c r="C171" s="23" t="n"/>
      <c r="D171" s="23" t="n"/>
      <c r="E171" s="23" t="n"/>
      <c r="F171" s="23" t="n"/>
      <c r="G171" s="31">
        <f>IF(OR(E171="",F171=""),"",ABS(E171-F171))</f>
        <v/>
      </c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</row>
    <row r="172">
      <c r="A172" s="32">
        <f>IF(B172="","","TSL-"&amp;TEXT(ROW()-2,"0000"))</f>
        <v/>
      </c>
      <c r="B172" s="29" t="n"/>
      <c r="C172" s="29" t="n"/>
      <c r="D172" s="29" t="n"/>
      <c r="E172" s="29" t="n"/>
      <c r="F172" s="29" t="n"/>
      <c r="G172" s="32">
        <f>IF(OR(E172="",F172=""),"",ABS(E172-F172))</f>
        <v/>
      </c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</row>
    <row r="173">
      <c r="A173" s="31">
        <f>IF(B173="","","TSL-"&amp;TEXT(ROW()-2,"0000"))</f>
        <v/>
      </c>
      <c r="B173" s="23" t="n"/>
      <c r="C173" s="23" t="n"/>
      <c r="D173" s="23" t="n"/>
      <c r="E173" s="23" t="n"/>
      <c r="F173" s="23" t="n"/>
      <c r="G173" s="31">
        <f>IF(OR(E173="",F173=""),"",ABS(E173-F173))</f>
        <v/>
      </c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</row>
    <row r="174">
      <c r="A174" s="32">
        <f>IF(B174="","","TSL-"&amp;TEXT(ROW()-2,"0000"))</f>
        <v/>
      </c>
      <c r="B174" s="29" t="n"/>
      <c r="C174" s="29" t="n"/>
      <c r="D174" s="29" t="n"/>
      <c r="E174" s="29" t="n"/>
      <c r="F174" s="29" t="n"/>
      <c r="G174" s="32">
        <f>IF(OR(E174="",F174=""),"",ABS(E174-F174))</f>
        <v/>
      </c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</row>
    <row r="175">
      <c r="A175" s="31">
        <f>IF(B175="","","TSL-"&amp;TEXT(ROW()-2,"0000"))</f>
        <v/>
      </c>
      <c r="B175" s="23" t="n"/>
      <c r="C175" s="23" t="n"/>
      <c r="D175" s="23" t="n"/>
      <c r="E175" s="23" t="n"/>
      <c r="F175" s="23" t="n"/>
      <c r="G175" s="31">
        <f>IF(OR(E175="",F175=""),"",ABS(E175-F175))</f>
        <v/>
      </c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</row>
    <row r="176">
      <c r="A176" s="32">
        <f>IF(B176="","","TSL-"&amp;TEXT(ROW()-2,"0000"))</f>
        <v/>
      </c>
      <c r="B176" s="29" t="n"/>
      <c r="C176" s="29" t="n"/>
      <c r="D176" s="29" t="n"/>
      <c r="E176" s="29" t="n"/>
      <c r="F176" s="29" t="n"/>
      <c r="G176" s="32">
        <f>IF(OR(E176="",F176=""),"",ABS(E176-F176))</f>
        <v/>
      </c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29" t="n"/>
      <c r="R176" s="29" t="n"/>
      <c r="S176" s="29" t="n"/>
      <c r="T176" s="29" t="n"/>
    </row>
    <row r="177">
      <c r="A177" s="31">
        <f>IF(B177="","","TSL-"&amp;TEXT(ROW()-2,"0000"))</f>
        <v/>
      </c>
      <c r="B177" s="23" t="n"/>
      <c r="C177" s="23" t="n"/>
      <c r="D177" s="23" t="n"/>
      <c r="E177" s="23" t="n"/>
      <c r="F177" s="23" t="n"/>
      <c r="G177" s="31">
        <f>IF(OR(E177="",F177=""),"",ABS(E177-F177))</f>
        <v/>
      </c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</row>
    <row r="178">
      <c r="A178" s="32">
        <f>IF(B178="","","TSL-"&amp;TEXT(ROW()-2,"0000"))</f>
        <v/>
      </c>
      <c r="B178" s="29" t="n"/>
      <c r="C178" s="29" t="n"/>
      <c r="D178" s="29" t="n"/>
      <c r="E178" s="29" t="n"/>
      <c r="F178" s="29" t="n"/>
      <c r="G178" s="32">
        <f>IF(OR(E178="",F178=""),"",ABS(E178-F178))</f>
        <v/>
      </c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29" t="n"/>
      <c r="R178" s="29" t="n"/>
      <c r="S178" s="29" t="n"/>
      <c r="T178" s="29" t="n"/>
    </row>
    <row r="179">
      <c r="A179" s="31">
        <f>IF(B179="","","TSL-"&amp;TEXT(ROW()-2,"0000"))</f>
        <v/>
      </c>
      <c r="B179" s="23" t="n"/>
      <c r="C179" s="23" t="n"/>
      <c r="D179" s="23" t="n"/>
      <c r="E179" s="23" t="n"/>
      <c r="F179" s="23" t="n"/>
      <c r="G179" s="31">
        <f>IF(OR(E179="",F179=""),"",ABS(E179-F179))</f>
        <v/>
      </c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</row>
    <row r="180">
      <c r="A180" s="32">
        <f>IF(B180="","","TSL-"&amp;TEXT(ROW()-2,"0000"))</f>
        <v/>
      </c>
      <c r="B180" s="29" t="n"/>
      <c r="C180" s="29" t="n"/>
      <c r="D180" s="29" t="n"/>
      <c r="E180" s="29" t="n"/>
      <c r="F180" s="29" t="n"/>
      <c r="G180" s="32">
        <f>IF(OR(E180="",F180=""),"",ABS(E180-F180))</f>
        <v/>
      </c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</row>
    <row r="181">
      <c r="A181" s="31">
        <f>IF(B181="","","TSL-"&amp;TEXT(ROW()-2,"0000"))</f>
        <v/>
      </c>
      <c r="B181" s="23" t="n"/>
      <c r="C181" s="23" t="n"/>
      <c r="D181" s="23" t="n"/>
      <c r="E181" s="23" t="n"/>
      <c r="F181" s="23" t="n"/>
      <c r="G181" s="31">
        <f>IF(OR(E181="",F181=""),"",ABS(E181-F181))</f>
        <v/>
      </c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</row>
    <row r="182">
      <c r="A182" s="32">
        <f>IF(B182="","","TSL-"&amp;TEXT(ROW()-2,"0000"))</f>
        <v/>
      </c>
      <c r="B182" s="29" t="n"/>
      <c r="C182" s="29" t="n"/>
      <c r="D182" s="29" t="n"/>
      <c r="E182" s="29" t="n"/>
      <c r="F182" s="29" t="n"/>
      <c r="G182" s="32">
        <f>IF(OR(E182="",F182=""),"",ABS(E182-F182))</f>
        <v/>
      </c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29" t="n"/>
      <c r="R182" s="29" t="n"/>
      <c r="S182" s="29" t="n"/>
      <c r="T182" s="29" t="n"/>
    </row>
    <row r="183">
      <c r="A183" s="31">
        <f>IF(B183="","","TSL-"&amp;TEXT(ROW()-2,"0000"))</f>
        <v/>
      </c>
      <c r="B183" s="23" t="n"/>
      <c r="C183" s="23" t="n"/>
      <c r="D183" s="23" t="n"/>
      <c r="E183" s="23" t="n"/>
      <c r="F183" s="23" t="n"/>
      <c r="G183" s="31">
        <f>IF(OR(E183="",F183=""),"",ABS(E183-F183))</f>
        <v/>
      </c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</row>
    <row r="184">
      <c r="A184" s="32">
        <f>IF(B184="","","TSL-"&amp;TEXT(ROW()-2,"0000"))</f>
        <v/>
      </c>
      <c r="B184" s="29" t="n"/>
      <c r="C184" s="29" t="n"/>
      <c r="D184" s="29" t="n"/>
      <c r="E184" s="29" t="n"/>
      <c r="F184" s="29" t="n"/>
      <c r="G184" s="32">
        <f>IF(OR(E184="",F184=""),"",ABS(E184-F184))</f>
        <v/>
      </c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29" t="n"/>
      <c r="R184" s="29" t="n"/>
      <c r="S184" s="29" t="n"/>
      <c r="T184" s="29" t="n"/>
    </row>
    <row r="185">
      <c r="A185" s="31">
        <f>IF(B185="","","TSL-"&amp;TEXT(ROW()-2,"0000"))</f>
        <v/>
      </c>
      <c r="B185" s="23" t="n"/>
      <c r="C185" s="23" t="n"/>
      <c r="D185" s="23" t="n"/>
      <c r="E185" s="23" t="n"/>
      <c r="F185" s="23" t="n"/>
      <c r="G185" s="31">
        <f>IF(OR(E185="",F185=""),"",ABS(E185-F185))</f>
        <v/>
      </c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</row>
    <row r="186">
      <c r="A186" s="32">
        <f>IF(B186="","","TSL-"&amp;TEXT(ROW()-2,"0000"))</f>
        <v/>
      </c>
      <c r="B186" s="29" t="n"/>
      <c r="C186" s="29" t="n"/>
      <c r="D186" s="29" t="n"/>
      <c r="E186" s="29" t="n"/>
      <c r="F186" s="29" t="n"/>
      <c r="G186" s="32">
        <f>IF(OR(E186="",F186=""),"",ABS(E186-F186))</f>
        <v/>
      </c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29" t="n"/>
      <c r="R186" s="29" t="n"/>
      <c r="S186" s="29" t="n"/>
      <c r="T186" s="29" t="n"/>
    </row>
    <row r="187">
      <c r="A187" s="31">
        <f>IF(B187="","","TSL-"&amp;TEXT(ROW()-2,"0000"))</f>
        <v/>
      </c>
      <c r="B187" s="23" t="n"/>
      <c r="C187" s="23" t="n"/>
      <c r="D187" s="23" t="n"/>
      <c r="E187" s="23" t="n"/>
      <c r="F187" s="23" t="n"/>
      <c r="G187" s="31">
        <f>IF(OR(E187="",F187=""),"",ABS(E187-F187))</f>
        <v/>
      </c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</row>
    <row r="188">
      <c r="A188" s="32">
        <f>IF(B188="","","TSL-"&amp;TEXT(ROW()-2,"0000"))</f>
        <v/>
      </c>
      <c r="B188" s="29" t="n"/>
      <c r="C188" s="29" t="n"/>
      <c r="D188" s="29" t="n"/>
      <c r="E188" s="29" t="n"/>
      <c r="F188" s="29" t="n"/>
      <c r="G188" s="32">
        <f>IF(OR(E188="",F188=""),"",ABS(E188-F188))</f>
        <v/>
      </c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29" t="n"/>
      <c r="R188" s="29" t="n"/>
      <c r="S188" s="29" t="n"/>
      <c r="T188" s="29" t="n"/>
    </row>
    <row r="189">
      <c r="A189" s="31">
        <f>IF(B189="","","TSL-"&amp;TEXT(ROW()-2,"0000"))</f>
        <v/>
      </c>
      <c r="B189" s="23" t="n"/>
      <c r="C189" s="23" t="n"/>
      <c r="D189" s="23" t="n"/>
      <c r="E189" s="23" t="n"/>
      <c r="F189" s="23" t="n"/>
      <c r="G189" s="31">
        <f>IF(OR(E189="",F189=""),"",ABS(E189-F189))</f>
        <v/>
      </c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</row>
    <row r="190">
      <c r="A190" s="32">
        <f>IF(B190="","","TSL-"&amp;TEXT(ROW()-2,"0000"))</f>
        <v/>
      </c>
      <c r="B190" s="29" t="n"/>
      <c r="C190" s="29" t="n"/>
      <c r="D190" s="29" t="n"/>
      <c r="E190" s="29" t="n"/>
      <c r="F190" s="29" t="n"/>
      <c r="G190" s="32">
        <f>IF(OR(E190="",F190=""),"",ABS(E190-F190))</f>
        <v/>
      </c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29" t="n"/>
      <c r="R190" s="29" t="n"/>
      <c r="S190" s="29" t="n"/>
      <c r="T190" s="29" t="n"/>
    </row>
    <row r="191">
      <c r="A191" s="31">
        <f>IF(B191="","","TSL-"&amp;TEXT(ROW()-2,"0000"))</f>
        <v/>
      </c>
      <c r="B191" s="23" t="n"/>
      <c r="C191" s="23" t="n"/>
      <c r="D191" s="23" t="n"/>
      <c r="E191" s="23" t="n"/>
      <c r="F191" s="23" t="n"/>
      <c r="G191" s="31">
        <f>IF(OR(E191="",F191=""),"",ABS(E191-F191))</f>
        <v/>
      </c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</row>
    <row r="192">
      <c r="A192" s="32">
        <f>IF(B192="","","TSL-"&amp;TEXT(ROW()-2,"0000"))</f>
        <v/>
      </c>
      <c r="B192" s="29" t="n"/>
      <c r="C192" s="29" t="n"/>
      <c r="D192" s="29" t="n"/>
      <c r="E192" s="29" t="n"/>
      <c r="F192" s="29" t="n"/>
      <c r="G192" s="32">
        <f>IF(OR(E192="",F192=""),"",ABS(E192-F192))</f>
        <v/>
      </c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</row>
    <row r="193">
      <c r="A193" s="31">
        <f>IF(B193="","","TSL-"&amp;TEXT(ROW()-2,"0000"))</f>
        <v/>
      </c>
      <c r="B193" s="23" t="n"/>
      <c r="C193" s="23" t="n"/>
      <c r="D193" s="23" t="n"/>
      <c r="E193" s="23" t="n"/>
      <c r="F193" s="23" t="n"/>
      <c r="G193" s="31">
        <f>IF(OR(E193="",F193=""),"",ABS(E193-F193))</f>
        <v/>
      </c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</row>
    <row r="194">
      <c r="A194" s="32">
        <f>IF(B194="","","TSL-"&amp;TEXT(ROW()-2,"0000"))</f>
        <v/>
      </c>
      <c r="B194" s="29" t="n"/>
      <c r="C194" s="29" t="n"/>
      <c r="D194" s="29" t="n"/>
      <c r="E194" s="29" t="n"/>
      <c r="F194" s="29" t="n"/>
      <c r="G194" s="32">
        <f>IF(OR(E194="",F194=""),"",ABS(E194-F194))</f>
        <v/>
      </c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29" t="n"/>
      <c r="R194" s="29" t="n"/>
      <c r="S194" s="29" t="n"/>
      <c r="T194" s="29" t="n"/>
    </row>
    <row r="195">
      <c r="A195" s="31">
        <f>IF(B195="","","TSL-"&amp;TEXT(ROW()-2,"0000"))</f>
        <v/>
      </c>
      <c r="B195" s="23" t="n"/>
      <c r="C195" s="23" t="n"/>
      <c r="D195" s="23" t="n"/>
      <c r="E195" s="23" t="n"/>
      <c r="F195" s="23" t="n"/>
      <c r="G195" s="31">
        <f>IF(OR(E195="",F195=""),"",ABS(E195-F195))</f>
        <v/>
      </c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</row>
    <row r="196">
      <c r="A196" s="32">
        <f>IF(B196="","","TSL-"&amp;TEXT(ROW()-2,"0000"))</f>
        <v/>
      </c>
      <c r="B196" s="29" t="n"/>
      <c r="C196" s="29" t="n"/>
      <c r="D196" s="29" t="n"/>
      <c r="E196" s="29" t="n"/>
      <c r="F196" s="29" t="n"/>
      <c r="G196" s="32">
        <f>IF(OR(E196="",F196=""),"",ABS(E196-F196))</f>
        <v/>
      </c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29" t="n"/>
      <c r="R196" s="29" t="n"/>
      <c r="S196" s="29" t="n"/>
      <c r="T196" s="29" t="n"/>
    </row>
    <row r="197">
      <c r="A197" s="31">
        <f>IF(B197="","","TSL-"&amp;TEXT(ROW()-2,"0000"))</f>
        <v/>
      </c>
      <c r="B197" s="23" t="n"/>
      <c r="C197" s="23" t="n"/>
      <c r="D197" s="23" t="n"/>
      <c r="E197" s="23" t="n"/>
      <c r="F197" s="23" t="n"/>
      <c r="G197" s="31">
        <f>IF(OR(E197="",F197=""),"",ABS(E197-F197))</f>
        <v/>
      </c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</row>
    <row r="198">
      <c r="A198" s="32">
        <f>IF(B198="","","TSL-"&amp;TEXT(ROW()-2,"0000"))</f>
        <v/>
      </c>
      <c r="B198" s="29" t="n"/>
      <c r="C198" s="29" t="n"/>
      <c r="D198" s="29" t="n"/>
      <c r="E198" s="29" t="n"/>
      <c r="F198" s="29" t="n"/>
      <c r="G198" s="32">
        <f>IF(OR(E198="",F198=""),"",ABS(E198-F198))</f>
        <v/>
      </c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</row>
    <row r="199">
      <c r="A199" s="31">
        <f>IF(B199="","","TSL-"&amp;TEXT(ROW()-2,"0000"))</f>
        <v/>
      </c>
      <c r="B199" s="23" t="n"/>
      <c r="C199" s="23" t="n"/>
      <c r="D199" s="23" t="n"/>
      <c r="E199" s="23" t="n"/>
      <c r="F199" s="23" t="n"/>
      <c r="G199" s="31">
        <f>IF(OR(E199="",F199=""),"",ABS(E199-F199))</f>
        <v/>
      </c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</row>
    <row r="200">
      <c r="A200" s="32">
        <f>IF(B200="","","TSL-"&amp;TEXT(ROW()-2,"0000"))</f>
        <v/>
      </c>
      <c r="B200" s="29" t="n"/>
      <c r="C200" s="29" t="n"/>
      <c r="D200" s="29" t="n"/>
      <c r="E200" s="29" t="n"/>
      <c r="F200" s="29" t="n"/>
      <c r="G200" s="32">
        <f>IF(OR(E200="",F200=""),"",ABS(E200-F200))</f>
        <v/>
      </c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29" t="n"/>
      <c r="R200" s="29" t="n"/>
      <c r="S200" s="29" t="n"/>
      <c r="T200" s="29" t="n"/>
    </row>
    <row r="201">
      <c r="A201" s="31">
        <f>IF(B201="","","TSL-"&amp;TEXT(ROW()-2,"0000"))</f>
        <v/>
      </c>
      <c r="B201" s="23" t="n"/>
      <c r="C201" s="23" t="n"/>
      <c r="D201" s="23" t="n"/>
      <c r="E201" s="23" t="n"/>
      <c r="F201" s="23" t="n"/>
      <c r="G201" s="31">
        <f>IF(OR(E201="",F201=""),"",ABS(E201-F201))</f>
        <v/>
      </c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</row>
    <row r="202">
      <c r="A202" s="32">
        <f>IF(B202="","","TSL-"&amp;TEXT(ROW()-2,"0000"))</f>
        <v/>
      </c>
      <c r="B202" s="29" t="n"/>
      <c r="C202" s="29" t="n"/>
      <c r="D202" s="29" t="n"/>
      <c r="E202" s="29" t="n"/>
      <c r="F202" s="29" t="n"/>
      <c r="G202" s="32">
        <f>IF(OR(E202="",F202=""),"",ABS(E202-F202))</f>
        <v/>
      </c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29" t="n"/>
      <c r="R202" s="29" t="n"/>
      <c r="S202" s="29" t="n"/>
      <c r="T202" s="29" t="n"/>
    </row>
    <row r="203">
      <c r="A203" s="31">
        <f>IF(B203="","","TSL-"&amp;TEXT(ROW()-2,"0000"))</f>
        <v/>
      </c>
      <c r="B203" s="23" t="n"/>
      <c r="C203" s="23" t="n"/>
      <c r="D203" s="23" t="n"/>
      <c r="E203" s="23" t="n"/>
      <c r="F203" s="23" t="n"/>
      <c r="G203" s="31">
        <f>IF(OR(E203="",F203=""),"",ABS(E203-F203))</f>
        <v/>
      </c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</row>
    <row r="204">
      <c r="A204" s="32">
        <f>IF(B204="","","TSL-"&amp;TEXT(ROW()-2,"0000"))</f>
        <v/>
      </c>
      <c r="B204" s="29" t="n"/>
      <c r="C204" s="29" t="n"/>
      <c r="D204" s="29" t="n"/>
      <c r="E204" s="29" t="n"/>
      <c r="F204" s="29" t="n"/>
      <c r="G204" s="32">
        <f>IF(OR(E204="",F204=""),"",ABS(E204-F204))</f>
        <v/>
      </c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29" t="n"/>
      <c r="R204" s="29" t="n"/>
      <c r="S204" s="29" t="n"/>
      <c r="T204" s="29" t="n"/>
    </row>
    <row r="205">
      <c r="A205" s="31">
        <f>IF(B205="","","TSL-"&amp;TEXT(ROW()-2,"0000"))</f>
        <v/>
      </c>
      <c r="B205" s="23" t="n"/>
      <c r="C205" s="23" t="n"/>
      <c r="D205" s="23" t="n"/>
      <c r="E205" s="23" t="n"/>
      <c r="F205" s="23" t="n"/>
      <c r="G205" s="31">
        <f>IF(OR(E205="",F205=""),"",ABS(E205-F205))</f>
        <v/>
      </c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</row>
    <row r="206">
      <c r="A206" s="32">
        <f>IF(B206="","","TSL-"&amp;TEXT(ROW()-2,"0000"))</f>
        <v/>
      </c>
      <c r="B206" s="29" t="n"/>
      <c r="C206" s="29" t="n"/>
      <c r="D206" s="29" t="n"/>
      <c r="E206" s="29" t="n"/>
      <c r="F206" s="29" t="n"/>
      <c r="G206" s="32">
        <f>IF(OR(E206="",F206=""),"",ABS(E206-F206))</f>
        <v/>
      </c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29" t="n"/>
      <c r="R206" s="29" t="n"/>
      <c r="S206" s="29" t="n"/>
      <c r="T206" s="29" t="n"/>
    </row>
    <row r="207">
      <c r="A207" s="31">
        <f>IF(B207="","","TSL-"&amp;TEXT(ROW()-2,"0000"))</f>
        <v/>
      </c>
      <c r="B207" s="23" t="n"/>
      <c r="C207" s="23" t="n"/>
      <c r="D207" s="23" t="n"/>
      <c r="E207" s="23" t="n"/>
      <c r="F207" s="23" t="n"/>
      <c r="G207" s="31">
        <f>IF(OR(E207="",F207=""),"",ABS(E207-F207))</f>
        <v/>
      </c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</row>
    <row r="208">
      <c r="A208" s="32">
        <f>IF(B208="","","TSL-"&amp;TEXT(ROW()-2,"0000"))</f>
        <v/>
      </c>
      <c r="B208" s="29" t="n"/>
      <c r="C208" s="29" t="n"/>
      <c r="D208" s="29" t="n"/>
      <c r="E208" s="29" t="n"/>
      <c r="F208" s="29" t="n"/>
      <c r="G208" s="32">
        <f>IF(OR(E208="",F208=""),"",ABS(E208-F208))</f>
        <v/>
      </c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29" t="n"/>
      <c r="R208" s="29" t="n"/>
      <c r="S208" s="29" t="n"/>
      <c r="T208" s="29" t="n"/>
    </row>
    <row r="209">
      <c r="A209" s="31">
        <f>IF(B209="","","TSL-"&amp;TEXT(ROW()-2,"0000"))</f>
        <v/>
      </c>
      <c r="B209" s="23" t="n"/>
      <c r="C209" s="23" t="n"/>
      <c r="D209" s="23" t="n"/>
      <c r="E209" s="23" t="n"/>
      <c r="F209" s="23" t="n"/>
      <c r="G209" s="31">
        <f>IF(OR(E209="",F209=""),"",ABS(E209-F209))</f>
        <v/>
      </c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</row>
    <row r="210">
      <c r="A210" s="32">
        <f>IF(B210="","","TSL-"&amp;TEXT(ROW()-2,"0000"))</f>
        <v/>
      </c>
      <c r="B210" s="29" t="n"/>
      <c r="C210" s="29" t="n"/>
      <c r="D210" s="29" t="n"/>
      <c r="E210" s="29" t="n"/>
      <c r="F210" s="29" t="n"/>
      <c r="G210" s="32">
        <f>IF(OR(E210="",F210=""),"",ABS(E210-F210))</f>
        <v/>
      </c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29" t="n"/>
      <c r="R210" s="29" t="n"/>
      <c r="S210" s="29" t="n"/>
      <c r="T210" s="29" t="n"/>
    </row>
    <row r="211">
      <c r="A211" s="31">
        <f>IF(B211="","","TSL-"&amp;TEXT(ROW()-2,"0000"))</f>
        <v/>
      </c>
      <c r="B211" s="23" t="n"/>
      <c r="C211" s="23" t="n"/>
      <c r="D211" s="23" t="n"/>
      <c r="E211" s="23" t="n"/>
      <c r="F211" s="23" t="n"/>
      <c r="G211" s="31">
        <f>IF(OR(E211="",F211=""),"",ABS(E211-F211))</f>
        <v/>
      </c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</row>
    <row r="212">
      <c r="A212" s="32">
        <f>IF(B212="","","TSL-"&amp;TEXT(ROW()-2,"0000"))</f>
        <v/>
      </c>
      <c r="B212" s="29" t="n"/>
      <c r="C212" s="29" t="n"/>
      <c r="D212" s="29" t="n"/>
      <c r="E212" s="29" t="n"/>
      <c r="F212" s="29" t="n"/>
      <c r="G212" s="32">
        <f>IF(OR(E212="",F212=""),"",ABS(E212-F212))</f>
        <v/>
      </c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29" t="n"/>
      <c r="R212" s="29" t="n"/>
      <c r="S212" s="29" t="n"/>
      <c r="T212" s="29" t="n"/>
    </row>
    <row r="213">
      <c r="A213" s="31">
        <f>IF(B213="","","TSL-"&amp;TEXT(ROW()-2,"0000"))</f>
        <v/>
      </c>
      <c r="B213" s="23" t="n"/>
      <c r="C213" s="23" t="n"/>
      <c r="D213" s="23" t="n"/>
      <c r="E213" s="23" t="n"/>
      <c r="F213" s="23" t="n"/>
      <c r="G213" s="31">
        <f>IF(OR(E213="",F213=""),"",ABS(E213-F213))</f>
        <v/>
      </c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</row>
    <row r="214">
      <c r="A214" s="32">
        <f>IF(B214="","","TSL-"&amp;TEXT(ROW()-2,"0000"))</f>
        <v/>
      </c>
      <c r="B214" s="29" t="n"/>
      <c r="C214" s="29" t="n"/>
      <c r="D214" s="29" t="n"/>
      <c r="E214" s="29" t="n"/>
      <c r="F214" s="29" t="n"/>
      <c r="G214" s="32">
        <f>IF(OR(E214="",F214=""),"",ABS(E214-F214))</f>
        <v/>
      </c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29" t="n"/>
      <c r="R214" s="29" t="n"/>
      <c r="S214" s="29" t="n"/>
      <c r="T214" s="29" t="n"/>
    </row>
    <row r="215">
      <c r="A215" s="31">
        <f>IF(B215="","","TSL-"&amp;TEXT(ROW()-2,"0000"))</f>
        <v/>
      </c>
      <c r="B215" s="23" t="n"/>
      <c r="C215" s="23" t="n"/>
      <c r="D215" s="23" t="n"/>
      <c r="E215" s="23" t="n"/>
      <c r="F215" s="23" t="n"/>
      <c r="G215" s="31">
        <f>IF(OR(E215="",F215=""),"",ABS(E215-F215))</f>
        <v/>
      </c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</row>
    <row r="216">
      <c r="A216" s="32">
        <f>IF(B216="","","TSL-"&amp;TEXT(ROW()-2,"0000"))</f>
        <v/>
      </c>
      <c r="B216" s="29" t="n"/>
      <c r="C216" s="29" t="n"/>
      <c r="D216" s="29" t="n"/>
      <c r="E216" s="29" t="n"/>
      <c r="F216" s="29" t="n"/>
      <c r="G216" s="32">
        <f>IF(OR(E216="",F216=""),"",ABS(E216-F216))</f>
        <v/>
      </c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29" t="n"/>
      <c r="R216" s="29" t="n"/>
      <c r="S216" s="29" t="n"/>
      <c r="T216" s="29" t="n"/>
    </row>
    <row r="217">
      <c r="A217" s="31">
        <f>IF(B217="","","TSL-"&amp;TEXT(ROW()-2,"0000"))</f>
        <v/>
      </c>
      <c r="B217" s="23" t="n"/>
      <c r="C217" s="23" t="n"/>
      <c r="D217" s="23" t="n"/>
      <c r="E217" s="23" t="n"/>
      <c r="F217" s="23" t="n"/>
      <c r="G217" s="31">
        <f>IF(OR(E217="",F217=""),"",ABS(E217-F217))</f>
        <v/>
      </c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</row>
    <row r="218">
      <c r="A218" s="32">
        <f>IF(B218="","","TSL-"&amp;TEXT(ROW()-2,"0000"))</f>
        <v/>
      </c>
      <c r="B218" s="29" t="n"/>
      <c r="C218" s="29" t="n"/>
      <c r="D218" s="29" t="n"/>
      <c r="E218" s="29" t="n"/>
      <c r="F218" s="29" t="n"/>
      <c r="G218" s="32">
        <f>IF(OR(E218="",F218=""),"",ABS(E218-F218))</f>
        <v/>
      </c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29" t="n"/>
      <c r="R218" s="29" t="n"/>
      <c r="S218" s="29" t="n"/>
      <c r="T218" s="29" t="n"/>
    </row>
    <row r="219">
      <c r="A219" s="31">
        <f>IF(B219="","","TSL-"&amp;TEXT(ROW()-2,"0000"))</f>
        <v/>
      </c>
      <c r="B219" s="23" t="n"/>
      <c r="C219" s="23" t="n"/>
      <c r="D219" s="23" t="n"/>
      <c r="E219" s="23" t="n"/>
      <c r="F219" s="23" t="n"/>
      <c r="G219" s="31">
        <f>IF(OR(E219="",F219=""),"",ABS(E219-F219))</f>
        <v/>
      </c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</row>
    <row r="220">
      <c r="A220" s="32">
        <f>IF(B220="","","TSL-"&amp;TEXT(ROW()-2,"0000"))</f>
        <v/>
      </c>
      <c r="B220" s="29" t="n"/>
      <c r="C220" s="29" t="n"/>
      <c r="D220" s="29" t="n"/>
      <c r="E220" s="29" t="n"/>
      <c r="F220" s="29" t="n"/>
      <c r="G220" s="32">
        <f>IF(OR(E220="",F220=""),"",ABS(E220-F220))</f>
        <v/>
      </c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</row>
    <row r="221">
      <c r="A221" s="31">
        <f>IF(B221="","","TSL-"&amp;TEXT(ROW()-2,"0000"))</f>
        <v/>
      </c>
      <c r="B221" s="23" t="n"/>
      <c r="C221" s="23" t="n"/>
      <c r="D221" s="23" t="n"/>
      <c r="E221" s="23" t="n"/>
      <c r="F221" s="23" t="n"/>
      <c r="G221" s="31">
        <f>IF(OR(E221="",F221=""),"",ABS(E221-F221))</f>
        <v/>
      </c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</row>
    <row r="222">
      <c r="A222" s="32">
        <f>IF(B222="","","TSL-"&amp;TEXT(ROW()-2,"0000"))</f>
        <v/>
      </c>
      <c r="B222" s="29" t="n"/>
      <c r="C222" s="29" t="n"/>
      <c r="D222" s="29" t="n"/>
      <c r="E222" s="29" t="n"/>
      <c r="F222" s="29" t="n"/>
      <c r="G222" s="32">
        <f>IF(OR(E222="",F222=""),"",ABS(E222-F222))</f>
        <v/>
      </c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29" t="n"/>
      <c r="R222" s="29" t="n"/>
      <c r="S222" s="29" t="n"/>
      <c r="T222" s="29" t="n"/>
    </row>
    <row r="223">
      <c r="A223" s="31">
        <f>IF(B223="","","TSL-"&amp;TEXT(ROW()-2,"0000"))</f>
        <v/>
      </c>
      <c r="B223" s="23" t="n"/>
      <c r="C223" s="23" t="n"/>
      <c r="D223" s="23" t="n"/>
      <c r="E223" s="23" t="n"/>
      <c r="F223" s="23" t="n"/>
      <c r="G223" s="31">
        <f>IF(OR(E223="",F223=""),"",ABS(E223-F223))</f>
        <v/>
      </c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</row>
    <row r="224">
      <c r="A224" s="32">
        <f>IF(B224="","","TSL-"&amp;TEXT(ROW()-2,"0000"))</f>
        <v/>
      </c>
      <c r="B224" s="29" t="n"/>
      <c r="C224" s="29" t="n"/>
      <c r="D224" s="29" t="n"/>
      <c r="E224" s="29" t="n"/>
      <c r="F224" s="29" t="n"/>
      <c r="G224" s="32">
        <f>IF(OR(E224="",F224=""),"",ABS(E224-F224))</f>
        <v/>
      </c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29" t="n"/>
      <c r="R224" s="29" t="n"/>
      <c r="S224" s="29" t="n"/>
      <c r="T224" s="29" t="n"/>
    </row>
    <row r="225">
      <c r="A225" s="31">
        <f>IF(B225="","","TSL-"&amp;TEXT(ROW()-2,"0000"))</f>
        <v/>
      </c>
      <c r="B225" s="23" t="n"/>
      <c r="C225" s="23" t="n"/>
      <c r="D225" s="23" t="n"/>
      <c r="E225" s="23" t="n"/>
      <c r="F225" s="23" t="n"/>
      <c r="G225" s="31">
        <f>IF(OR(E225="",F225=""),"",ABS(E225-F225))</f>
        <v/>
      </c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</row>
    <row r="226">
      <c r="A226" s="32">
        <f>IF(B226="","","TSL-"&amp;TEXT(ROW()-2,"0000"))</f>
        <v/>
      </c>
      <c r="B226" s="29" t="n"/>
      <c r="C226" s="29" t="n"/>
      <c r="D226" s="29" t="n"/>
      <c r="E226" s="29" t="n"/>
      <c r="F226" s="29" t="n"/>
      <c r="G226" s="32">
        <f>IF(OR(E226="",F226=""),"",ABS(E226-F226))</f>
        <v/>
      </c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29" t="n"/>
      <c r="R226" s="29" t="n"/>
      <c r="S226" s="29" t="n"/>
      <c r="T226" s="29" t="n"/>
    </row>
    <row r="227">
      <c r="A227" s="31">
        <f>IF(B227="","","TSL-"&amp;TEXT(ROW()-2,"0000"))</f>
        <v/>
      </c>
      <c r="B227" s="23" t="n"/>
      <c r="C227" s="23" t="n"/>
      <c r="D227" s="23" t="n"/>
      <c r="E227" s="23" t="n"/>
      <c r="F227" s="23" t="n"/>
      <c r="G227" s="31">
        <f>IF(OR(E227="",F227=""),"",ABS(E227-F227))</f>
        <v/>
      </c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</row>
    <row r="228">
      <c r="A228" s="32">
        <f>IF(B228="","","TSL-"&amp;TEXT(ROW()-2,"0000"))</f>
        <v/>
      </c>
      <c r="B228" s="29" t="n"/>
      <c r="C228" s="29" t="n"/>
      <c r="D228" s="29" t="n"/>
      <c r="E228" s="29" t="n"/>
      <c r="F228" s="29" t="n"/>
      <c r="G228" s="32">
        <f>IF(OR(E228="",F228=""),"",ABS(E228-F228))</f>
        <v/>
      </c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29" t="n"/>
      <c r="R228" s="29" t="n"/>
      <c r="S228" s="29" t="n"/>
      <c r="T228" s="29" t="n"/>
    </row>
    <row r="229">
      <c r="A229" s="31">
        <f>IF(B229="","","TSL-"&amp;TEXT(ROW()-2,"0000"))</f>
        <v/>
      </c>
      <c r="B229" s="23" t="n"/>
      <c r="C229" s="23" t="n"/>
      <c r="D229" s="23" t="n"/>
      <c r="E229" s="23" t="n"/>
      <c r="F229" s="23" t="n"/>
      <c r="G229" s="31">
        <f>IF(OR(E229="",F229=""),"",ABS(E229-F229))</f>
        <v/>
      </c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</row>
    <row r="230">
      <c r="A230" s="32">
        <f>IF(B230="","","TSL-"&amp;TEXT(ROW()-2,"0000"))</f>
        <v/>
      </c>
      <c r="B230" s="29" t="n"/>
      <c r="C230" s="29" t="n"/>
      <c r="D230" s="29" t="n"/>
      <c r="E230" s="29" t="n"/>
      <c r="F230" s="29" t="n"/>
      <c r="G230" s="32">
        <f>IF(OR(E230="",F230=""),"",ABS(E230-F230))</f>
        <v/>
      </c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29" t="n"/>
      <c r="R230" s="29" t="n"/>
      <c r="S230" s="29" t="n"/>
      <c r="T230" s="29" t="n"/>
    </row>
    <row r="231">
      <c r="A231" s="31">
        <f>IF(B231="","","TSL-"&amp;TEXT(ROW()-2,"0000"))</f>
        <v/>
      </c>
      <c r="B231" s="23" t="n"/>
      <c r="C231" s="23" t="n"/>
      <c r="D231" s="23" t="n"/>
      <c r="E231" s="23" t="n"/>
      <c r="F231" s="23" t="n"/>
      <c r="G231" s="31">
        <f>IF(OR(E231="",F231=""),"",ABS(E231-F231))</f>
        <v/>
      </c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</row>
    <row r="232">
      <c r="A232" s="32">
        <f>IF(B232="","","TSL-"&amp;TEXT(ROW()-2,"0000"))</f>
        <v/>
      </c>
      <c r="B232" s="29" t="n"/>
      <c r="C232" s="29" t="n"/>
      <c r="D232" s="29" t="n"/>
      <c r="E232" s="29" t="n"/>
      <c r="F232" s="29" t="n"/>
      <c r="G232" s="32">
        <f>IF(OR(E232="",F232=""),"",ABS(E232-F232))</f>
        <v/>
      </c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29" t="n"/>
      <c r="R232" s="29" t="n"/>
      <c r="S232" s="29" t="n"/>
      <c r="T232" s="29" t="n"/>
    </row>
    <row r="233">
      <c r="A233" s="31">
        <f>IF(B233="","","TSL-"&amp;TEXT(ROW()-2,"0000"))</f>
        <v/>
      </c>
      <c r="B233" s="23" t="n"/>
      <c r="C233" s="23" t="n"/>
      <c r="D233" s="23" t="n"/>
      <c r="E233" s="23" t="n"/>
      <c r="F233" s="23" t="n"/>
      <c r="G233" s="31">
        <f>IF(OR(E233="",F233=""),"",ABS(E233-F233))</f>
        <v/>
      </c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</row>
    <row r="234">
      <c r="A234" s="32">
        <f>IF(B234="","","TSL-"&amp;TEXT(ROW()-2,"0000"))</f>
        <v/>
      </c>
      <c r="B234" s="29" t="n"/>
      <c r="C234" s="29" t="n"/>
      <c r="D234" s="29" t="n"/>
      <c r="E234" s="29" t="n"/>
      <c r="F234" s="29" t="n"/>
      <c r="G234" s="32">
        <f>IF(OR(E234="",F234=""),"",ABS(E234-F234))</f>
        <v/>
      </c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</row>
    <row r="235">
      <c r="A235" s="31">
        <f>IF(B235="","","TSL-"&amp;TEXT(ROW()-2,"0000"))</f>
        <v/>
      </c>
      <c r="B235" s="23" t="n"/>
      <c r="C235" s="23" t="n"/>
      <c r="D235" s="23" t="n"/>
      <c r="E235" s="23" t="n"/>
      <c r="F235" s="23" t="n"/>
      <c r="G235" s="31">
        <f>IF(OR(E235="",F235=""),"",ABS(E235-F235))</f>
        <v/>
      </c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</row>
    <row r="236">
      <c r="A236" s="32">
        <f>IF(B236="","","TSL-"&amp;TEXT(ROW()-2,"0000"))</f>
        <v/>
      </c>
      <c r="B236" s="29" t="n"/>
      <c r="C236" s="29" t="n"/>
      <c r="D236" s="29" t="n"/>
      <c r="E236" s="29" t="n"/>
      <c r="F236" s="29" t="n"/>
      <c r="G236" s="32">
        <f>IF(OR(E236="",F236=""),"",ABS(E236-F236))</f>
        <v/>
      </c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29" t="n"/>
      <c r="R236" s="29" t="n"/>
      <c r="S236" s="29" t="n"/>
      <c r="T236" s="29" t="n"/>
    </row>
    <row r="237">
      <c r="A237" s="31">
        <f>IF(B237="","","TSL-"&amp;TEXT(ROW()-2,"0000"))</f>
        <v/>
      </c>
      <c r="B237" s="23" t="n"/>
      <c r="C237" s="23" t="n"/>
      <c r="D237" s="23" t="n"/>
      <c r="E237" s="23" t="n"/>
      <c r="F237" s="23" t="n"/>
      <c r="G237" s="31">
        <f>IF(OR(E237="",F237=""),"",ABS(E237-F237))</f>
        <v/>
      </c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</row>
    <row r="238">
      <c r="A238" s="32">
        <f>IF(B238="","","TSL-"&amp;TEXT(ROW()-2,"0000"))</f>
        <v/>
      </c>
      <c r="B238" s="29" t="n"/>
      <c r="C238" s="29" t="n"/>
      <c r="D238" s="29" t="n"/>
      <c r="E238" s="29" t="n"/>
      <c r="F238" s="29" t="n"/>
      <c r="G238" s="32">
        <f>IF(OR(E238="",F238=""),"",ABS(E238-F238))</f>
        <v/>
      </c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29" t="n"/>
      <c r="R238" s="29" t="n"/>
      <c r="S238" s="29" t="n"/>
      <c r="T238" s="29" t="n"/>
    </row>
    <row r="239">
      <c r="A239" s="31">
        <f>IF(B239="","","TSL-"&amp;TEXT(ROW()-2,"0000"))</f>
        <v/>
      </c>
      <c r="B239" s="23" t="n"/>
      <c r="C239" s="23" t="n"/>
      <c r="D239" s="23" t="n"/>
      <c r="E239" s="23" t="n"/>
      <c r="F239" s="23" t="n"/>
      <c r="G239" s="31">
        <f>IF(OR(E239="",F239=""),"",ABS(E239-F239))</f>
        <v/>
      </c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</row>
    <row r="240">
      <c r="A240" s="32">
        <f>IF(B240="","","TSL-"&amp;TEXT(ROW()-2,"0000"))</f>
        <v/>
      </c>
      <c r="B240" s="29" t="n"/>
      <c r="C240" s="29" t="n"/>
      <c r="D240" s="29" t="n"/>
      <c r="E240" s="29" t="n"/>
      <c r="F240" s="29" t="n"/>
      <c r="G240" s="32">
        <f>IF(OR(E240="",F240=""),"",ABS(E240-F240))</f>
        <v/>
      </c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29" t="n"/>
      <c r="R240" s="29" t="n"/>
      <c r="S240" s="29" t="n"/>
      <c r="T240" s="29" t="n"/>
    </row>
    <row r="241">
      <c r="A241" s="31">
        <f>IF(B241="","","TSL-"&amp;TEXT(ROW()-2,"0000"))</f>
        <v/>
      </c>
      <c r="B241" s="23" t="n"/>
      <c r="C241" s="23" t="n"/>
      <c r="D241" s="23" t="n"/>
      <c r="E241" s="23" t="n"/>
      <c r="F241" s="23" t="n"/>
      <c r="G241" s="31">
        <f>IF(OR(E241="",F241=""),"",ABS(E241-F241))</f>
        <v/>
      </c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</row>
    <row r="242">
      <c r="A242" s="32">
        <f>IF(B242="","","TSL-"&amp;TEXT(ROW()-2,"0000"))</f>
        <v/>
      </c>
      <c r="B242" s="29" t="n"/>
      <c r="C242" s="29" t="n"/>
      <c r="D242" s="29" t="n"/>
      <c r="E242" s="29" t="n"/>
      <c r="F242" s="29" t="n"/>
      <c r="G242" s="32">
        <f>IF(OR(E242="",F242=""),"",ABS(E242-F242))</f>
        <v/>
      </c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29" t="n"/>
      <c r="R242" s="29" t="n"/>
      <c r="S242" s="29" t="n"/>
      <c r="T242" s="29" t="n"/>
    </row>
    <row r="243">
      <c r="A243" s="31">
        <f>IF(B243="","","TSL-"&amp;TEXT(ROW()-2,"0000"))</f>
        <v/>
      </c>
      <c r="B243" s="23" t="n"/>
      <c r="C243" s="23" t="n"/>
      <c r="D243" s="23" t="n"/>
      <c r="E243" s="23" t="n"/>
      <c r="F243" s="23" t="n"/>
      <c r="G243" s="31">
        <f>IF(OR(E243="",F243=""),"",ABS(E243-F243))</f>
        <v/>
      </c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</row>
    <row r="244">
      <c r="A244" s="32">
        <f>IF(B244="","","TSL-"&amp;TEXT(ROW()-2,"0000"))</f>
        <v/>
      </c>
      <c r="B244" s="29" t="n"/>
      <c r="C244" s="29" t="n"/>
      <c r="D244" s="29" t="n"/>
      <c r="E244" s="29" t="n"/>
      <c r="F244" s="29" t="n"/>
      <c r="G244" s="32">
        <f>IF(OR(E244="",F244=""),"",ABS(E244-F244))</f>
        <v/>
      </c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29" t="n"/>
      <c r="R244" s="29" t="n"/>
      <c r="S244" s="29" t="n"/>
      <c r="T244" s="29" t="n"/>
    </row>
    <row r="245">
      <c r="A245" s="31">
        <f>IF(B245="","","TSL-"&amp;TEXT(ROW()-2,"0000"))</f>
        <v/>
      </c>
      <c r="B245" s="23" t="n"/>
      <c r="C245" s="23" t="n"/>
      <c r="D245" s="23" t="n"/>
      <c r="E245" s="23" t="n"/>
      <c r="F245" s="23" t="n"/>
      <c r="G245" s="31">
        <f>IF(OR(E245="",F245=""),"",ABS(E245-F245))</f>
        <v/>
      </c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</row>
    <row r="246">
      <c r="A246" s="32">
        <f>IF(B246="","","TSL-"&amp;TEXT(ROW()-2,"0000"))</f>
        <v/>
      </c>
      <c r="B246" s="29" t="n"/>
      <c r="C246" s="29" t="n"/>
      <c r="D246" s="29" t="n"/>
      <c r="E246" s="29" t="n"/>
      <c r="F246" s="29" t="n"/>
      <c r="G246" s="32">
        <f>IF(OR(E246="",F246=""),"",ABS(E246-F246))</f>
        <v/>
      </c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</row>
    <row r="247">
      <c r="A247" s="31">
        <f>IF(B247="","","TSL-"&amp;TEXT(ROW()-2,"0000"))</f>
        <v/>
      </c>
      <c r="B247" s="23" t="n"/>
      <c r="C247" s="23" t="n"/>
      <c r="D247" s="23" t="n"/>
      <c r="E247" s="23" t="n"/>
      <c r="F247" s="23" t="n"/>
      <c r="G247" s="31">
        <f>IF(OR(E247="",F247=""),"",ABS(E247-F247))</f>
        <v/>
      </c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</row>
    <row r="248">
      <c r="A248" s="32">
        <f>IF(B248="","","TSL-"&amp;TEXT(ROW()-2,"0000"))</f>
        <v/>
      </c>
      <c r="B248" s="29" t="n"/>
      <c r="C248" s="29" t="n"/>
      <c r="D248" s="29" t="n"/>
      <c r="E248" s="29" t="n"/>
      <c r="F248" s="29" t="n"/>
      <c r="G248" s="32">
        <f>IF(OR(E248="",F248=""),"",ABS(E248-F248))</f>
        <v/>
      </c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29" t="n"/>
      <c r="R248" s="29" t="n"/>
      <c r="S248" s="29" t="n"/>
      <c r="T248" s="29" t="n"/>
    </row>
    <row r="249">
      <c r="A249" s="31">
        <f>IF(B249="","","TSL-"&amp;TEXT(ROW()-2,"0000"))</f>
        <v/>
      </c>
      <c r="B249" s="23" t="n"/>
      <c r="C249" s="23" t="n"/>
      <c r="D249" s="23" t="n"/>
      <c r="E249" s="23" t="n"/>
      <c r="F249" s="23" t="n"/>
      <c r="G249" s="31">
        <f>IF(OR(E249="",F249=""),"",ABS(E249-F249))</f>
        <v/>
      </c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</row>
    <row r="250">
      <c r="A250" s="32">
        <f>IF(B250="","","TSL-"&amp;TEXT(ROW()-2,"0000"))</f>
        <v/>
      </c>
      <c r="B250" s="29" t="n"/>
      <c r="C250" s="29" t="n"/>
      <c r="D250" s="29" t="n"/>
      <c r="E250" s="29" t="n"/>
      <c r="F250" s="29" t="n"/>
      <c r="G250" s="32">
        <f>IF(OR(E250="",F250=""),"",ABS(E250-F250))</f>
        <v/>
      </c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29" t="n"/>
      <c r="R250" s="29" t="n"/>
      <c r="S250" s="29" t="n"/>
      <c r="T250" s="29" t="n"/>
    </row>
    <row r="251">
      <c r="A251" s="31">
        <f>IF(B251="","","TSL-"&amp;TEXT(ROW()-2,"0000"))</f>
        <v/>
      </c>
      <c r="B251" s="23" t="n"/>
      <c r="C251" s="23" t="n"/>
      <c r="D251" s="23" t="n"/>
      <c r="E251" s="23" t="n"/>
      <c r="F251" s="23" t="n"/>
      <c r="G251" s="31">
        <f>IF(OR(E251="",F251=""),"",ABS(E251-F251))</f>
        <v/>
      </c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</row>
    <row r="252">
      <c r="A252" s="32">
        <f>IF(B252="","","TSL-"&amp;TEXT(ROW()-2,"0000"))</f>
        <v/>
      </c>
      <c r="B252" s="29" t="n"/>
      <c r="C252" s="29" t="n"/>
      <c r="D252" s="29" t="n"/>
      <c r="E252" s="29" t="n"/>
      <c r="F252" s="29" t="n"/>
      <c r="G252" s="32">
        <f>IF(OR(E252="",F252=""),"",ABS(E252-F252))</f>
        <v/>
      </c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29" t="n"/>
      <c r="R252" s="29" t="n"/>
      <c r="S252" s="29" t="n"/>
      <c r="T252" s="29" t="n"/>
    </row>
    <row r="253">
      <c r="A253" s="31">
        <f>IF(B253="","","TSL-"&amp;TEXT(ROW()-2,"0000"))</f>
        <v/>
      </c>
      <c r="B253" s="23" t="n"/>
      <c r="C253" s="23" t="n"/>
      <c r="D253" s="23" t="n"/>
      <c r="E253" s="23" t="n"/>
      <c r="F253" s="23" t="n"/>
      <c r="G253" s="31">
        <f>IF(OR(E253="",F253=""),"",ABS(E253-F253))</f>
        <v/>
      </c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</row>
    <row r="254">
      <c r="A254" s="32">
        <f>IF(B254="","","TSL-"&amp;TEXT(ROW()-2,"0000"))</f>
        <v/>
      </c>
      <c r="B254" s="29" t="n"/>
      <c r="C254" s="29" t="n"/>
      <c r="D254" s="29" t="n"/>
      <c r="E254" s="29" t="n"/>
      <c r="F254" s="29" t="n"/>
      <c r="G254" s="32">
        <f>IF(OR(E254="",F254=""),"",ABS(E254-F254))</f>
        <v/>
      </c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29" t="n"/>
      <c r="S254" s="29" t="n"/>
      <c r="T254" s="29" t="n"/>
    </row>
    <row r="255">
      <c r="A255" s="31">
        <f>IF(B255="","","TSL-"&amp;TEXT(ROW()-2,"0000"))</f>
        <v/>
      </c>
      <c r="B255" s="23" t="n"/>
      <c r="C255" s="23" t="n"/>
      <c r="D255" s="23" t="n"/>
      <c r="E255" s="23" t="n"/>
      <c r="F255" s="23" t="n"/>
      <c r="G255" s="31">
        <f>IF(OR(E255="",F255=""),"",ABS(E255-F255))</f>
        <v/>
      </c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</row>
    <row r="256">
      <c r="A256" s="32">
        <f>IF(B256="","","TSL-"&amp;TEXT(ROW()-2,"0000"))</f>
        <v/>
      </c>
      <c r="B256" s="29" t="n"/>
      <c r="C256" s="29" t="n"/>
      <c r="D256" s="29" t="n"/>
      <c r="E256" s="29" t="n"/>
      <c r="F256" s="29" t="n"/>
      <c r="G256" s="32">
        <f>IF(OR(E256="",F256=""),"",ABS(E256-F256))</f>
        <v/>
      </c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29" t="n"/>
      <c r="R256" s="29" t="n"/>
      <c r="S256" s="29" t="n"/>
      <c r="T256" s="29" t="n"/>
    </row>
    <row r="257">
      <c r="A257" s="31">
        <f>IF(B257="","","TSL-"&amp;TEXT(ROW()-2,"0000"))</f>
        <v/>
      </c>
      <c r="B257" s="23" t="n"/>
      <c r="C257" s="23" t="n"/>
      <c r="D257" s="23" t="n"/>
      <c r="E257" s="23" t="n"/>
      <c r="F257" s="23" t="n"/>
      <c r="G257" s="31">
        <f>IF(OR(E257="",F257=""),"",ABS(E257-F257))</f>
        <v/>
      </c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</row>
    <row r="258">
      <c r="A258" s="32">
        <f>IF(B258="","","TSL-"&amp;TEXT(ROW()-2,"0000"))</f>
        <v/>
      </c>
      <c r="B258" s="29" t="n"/>
      <c r="C258" s="29" t="n"/>
      <c r="D258" s="29" t="n"/>
      <c r="E258" s="29" t="n"/>
      <c r="F258" s="29" t="n"/>
      <c r="G258" s="32">
        <f>IF(OR(E258="",F258=""),"",ABS(E258-F258))</f>
        <v/>
      </c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29" t="n"/>
      <c r="R258" s="29" t="n"/>
      <c r="S258" s="29" t="n"/>
      <c r="T258" s="29" t="n"/>
    </row>
    <row r="259">
      <c r="A259" s="31">
        <f>IF(B259="","","TSL-"&amp;TEXT(ROW()-2,"0000"))</f>
        <v/>
      </c>
      <c r="B259" s="23" t="n"/>
      <c r="C259" s="23" t="n"/>
      <c r="D259" s="23" t="n"/>
      <c r="E259" s="23" t="n"/>
      <c r="F259" s="23" t="n"/>
      <c r="G259" s="31">
        <f>IF(OR(E259="",F259=""),"",ABS(E259-F259))</f>
        <v/>
      </c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</row>
    <row r="260">
      <c r="A260" s="32">
        <f>IF(B260="","","TSL-"&amp;TEXT(ROW()-2,"0000"))</f>
        <v/>
      </c>
      <c r="B260" s="29" t="n"/>
      <c r="C260" s="29" t="n"/>
      <c r="D260" s="29" t="n"/>
      <c r="E260" s="29" t="n"/>
      <c r="F260" s="29" t="n"/>
      <c r="G260" s="32">
        <f>IF(OR(E260="",F260=""),"",ABS(E260-F260))</f>
        <v/>
      </c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29" t="n"/>
      <c r="R260" s="29" t="n"/>
      <c r="S260" s="29" t="n"/>
      <c r="T260" s="29" t="n"/>
    </row>
    <row r="261">
      <c r="A261" s="31">
        <f>IF(B261="","","TSL-"&amp;TEXT(ROW()-2,"0000"))</f>
        <v/>
      </c>
      <c r="B261" s="23" t="n"/>
      <c r="C261" s="23" t="n"/>
      <c r="D261" s="23" t="n"/>
      <c r="E261" s="23" t="n"/>
      <c r="F261" s="23" t="n"/>
      <c r="G261" s="31">
        <f>IF(OR(E261="",F261=""),"",ABS(E261-F261))</f>
        <v/>
      </c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</row>
    <row r="262">
      <c r="A262" s="32">
        <f>IF(B262="","","TSL-"&amp;TEXT(ROW()-2,"0000"))</f>
        <v/>
      </c>
      <c r="B262" s="29" t="n"/>
      <c r="C262" s="29" t="n"/>
      <c r="D262" s="29" t="n"/>
      <c r="E262" s="29" t="n"/>
      <c r="F262" s="29" t="n"/>
      <c r="G262" s="32">
        <f>IF(OR(E262="",F262=""),"",ABS(E262-F262))</f>
        <v/>
      </c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29" t="n"/>
      <c r="R262" s="29" t="n"/>
      <c r="S262" s="29" t="n"/>
      <c r="T262" s="29" t="n"/>
    </row>
    <row r="263">
      <c r="A263" s="31">
        <f>IF(B263="","","TSL-"&amp;TEXT(ROW()-2,"0000"))</f>
        <v/>
      </c>
      <c r="B263" s="23" t="n"/>
      <c r="C263" s="23" t="n"/>
      <c r="D263" s="23" t="n"/>
      <c r="E263" s="23" t="n"/>
      <c r="F263" s="23" t="n"/>
      <c r="G263" s="31">
        <f>IF(OR(E263="",F263=""),"",ABS(E263-F263))</f>
        <v/>
      </c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</row>
    <row r="264">
      <c r="A264" s="32">
        <f>IF(B264="","","TSL-"&amp;TEXT(ROW()-2,"0000"))</f>
        <v/>
      </c>
      <c r="B264" s="29" t="n"/>
      <c r="C264" s="29" t="n"/>
      <c r="D264" s="29" t="n"/>
      <c r="E264" s="29" t="n"/>
      <c r="F264" s="29" t="n"/>
      <c r="G264" s="32">
        <f>IF(OR(E264="",F264=""),"",ABS(E264-F264))</f>
        <v/>
      </c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29" t="n"/>
      <c r="R264" s="29" t="n"/>
      <c r="S264" s="29" t="n"/>
      <c r="T264" s="29" t="n"/>
    </row>
    <row r="265">
      <c r="A265" s="31">
        <f>IF(B265="","","TSL-"&amp;TEXT(ROW()-2,"0000"))</f>
        <v/>
      </c>
      <c r="B265" s="23" t="n"/>
      <c r="C265" s="23" t="n"/>
      <c r="D265" s="23" t="n"/>
      <c r="E265" s="23" t="n"/>
      <c r="F265" s="23" t="n"/>
      <c r="G265" s="31">
        <f>IF(OR(E265="",F265=""),"",ABS(E265-F265))</f>
        <v/>
      </c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</row>
    <row r="266">
      <c r="A266" s="32">
        <f>IF(B266="","","TSL-"&amp;TEXT(ROW()-2,"0000"))</f>
        <v/>
      </c>
      <c r="B266" s="29" t="n"/>
      <c r="C266" s="29" t="n"/>
      <c r="D266" s="29" t="n"/>
      <c r="E266" s="29" t="n"/>
      <c r="F266" s="29" t="n"/>
      <c r="G266" s="32">
        <f>IF(OR(E266="",F266=""),"",ABS(E266-F266))</f>
        <v/>
      </c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29" t="n"/>
      <c r="R266" s="29" t="n"/>
      <c r="S266" s="29" t="n"/>
      <c r="T266" s="29" t="n"/>
    </row>
    <row r="267">
      <c r="A267" s="31">
        <f>IF(B267="","","TSL-"&amp;TEXT(ROW()-2,"0000"))</f>
        <v/>
      </c>
      <c r="B267" s="23" t="n"/>
      <c r="C267" s="23" t="n"/>
      <c r="D267" s="23" t="n"/>
      <c r="E267" s="23" t="n"/>
      <c r="F267" s="23" t="n"/>
      <c r="G267" s="31">
        <f>IF(OR(E267="",F267=""),"",ABS(E267-F267))</f>
        <v/>
      </c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</row>
    <row r="268">
      <c r="A268" s="32">
        <f>IF(B268="","","TSL-"&amp;TEXT(ROW()-2,"0000"))</f>
        <v/>
      </c>
      <c r="B268" s="29" t="n"/>
      <c r="C268" s="29" t="n"/>
      <c r="D268" s="29" t="n"/>
      <c r="E268" s="29" t="n"/>
      <c r="F268" s="29" t="n"/>
      <c r="G268" s="32">
        <f>IF(OR(E268="",F268=""),"",ABS(E268-F268))</f>
        <v/>
      </c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29" t="n"/>
      <c r="R268" s="29" t="n"/>
      <c r="S268" s="29" t="n"/>
      <c r="T268" s="29" t="n"/>
    </row>
    <row r="269">
      <c r="A269" s="31">
        <f>IF(B269="","","TSL-"&amp;TEXT(ROW()-2,"0000"))</f>
        <v/>
      </c>
      <c r="B269" s="23" t="n"/>
      <c r="C269" s="23" t="n"/>
      <c r="D269" s="23" t="n"/>
      <c r="E269" s="23" t="n"/>
      <c r="F269" s="23" t="n"/>
      <c r="G269" s="31">
        <f>IF(OR(E269="",F269=""),"",ABS(E269-F269))</f>
        <v/>
      </c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</row>
    <row r="270">
      <c r="A270" s="32">
        <f>IF(B270="","","TSL-"&amp;TEXT(ROW()-2,"0000"))</f>
        <v/>
      </c>
      <c r="B270" s="29" t="n"/>
      <c r="C270" s="29" t="n"/>
      <c r="D270" s="29" t="n"/>
      <c r="E270" s="29" t="n"/>
      <c r="F270" s="29" t="n"/>
      <c r="G270" s="32">
        <f>IF(OR(E270="",F270=""),"",ABS(E270-F270))</f>
        <v/>
      </c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29" t="n"/>
      <c r="R270" s="29" t="n"/>
      <c r="S270" s="29" t="n"/>
      <c r="T270" s="29" t="n"/>
    </row>
    <row r="271">
      <c r="A271" s="31">
        <f>IF(B271="","","TSL-"&amp;TEXT(ROW()-2,"0000"))</f>
        <v/>
      </c>
      <c r="B271" s="23" t="n"/>
      <c r="C271" s="23" t="n"/>
      <c r="D271" s="23" t="n"/>
      <c r="E271" s="23" t="n"/>
      <c r="F271" s="23" t="n"/>
      <c r="G271" s="31">
        <f>IF(OR(E271="",F271=""),"",ABS(E271-F271))</f>
        <v/>
      </c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</row>
    <row r="272">
      <c r="A272" s="32">
        <f>IF(B272="","","TSL-"&amp;TEXT(ROW()-2,"0000"))</f>
        <v/>
      </c>
      <c r="B272" s="29" t="n"/>
      <c r="C272" s="29" t="n"/>
      <c r="D272" s="29" t="n"/>
      <c r="E272" s="29" t="n"/>
      <c r="F272" s="29" t="n"/>
      <c r="G272" s="32">
        <f>IF(OR(E272="",F272=""),"",ABS(E272-F272))</f>
        <v/>
      </c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29" t="n"/>
      <c r="R272" s="29" t="n"/>
      <c r="S272" s="29" t="n"/>
      <c r="T272" s="29" t="n"/>
    </row>
    <row r="273">
      <c r="A273" s="31">
        <f>IF(B273="","","TSL-"&amp;TEXT(ROW()-2,"0000"))</f>
        <v/>
      </c>
      <c r="B273" s="23" t="n"/>
      <c r="C273" s="23" t="n"/>
      <c r="D273" s="23" t="n"/>
      <c r="E273" s="23" t="n"/>
      <c r="F273" s="23" t="n"/>
      <c r="G273" s="31">
        <f>IF(OR(E273="",F273=""),"",ABS(E273-F273))</f>
        <v/>
      </c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</row>
    <row r="274">
      <c r="A274" s="32">
        <f>IF(B274="","","TSL-"&amp;TEXT(ROW()-2,"0000"))</f>
        <v/>
      </c>
      <c r="B274" s="29" t="n"/>
      <c r="C274" s="29" t="n"/>
      <c r="D274" s="29" t="n"/>
      <c r="E274" s="29" t="n"/>
      <c r="F274" s="29" t="n"/>
      <c r="G274" s="32">
        <f>IF(OR(E274="",F274=""),"",ABS(E274-F274))</f>
        <v/>
      </c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29" t="n"/>
      <c r="R274" s="29" t="n"/>
      <c r="S274" s="29" t="n"/>
      <c r="T274" s="29" t="n"/>
    </row>
    <row r="275">
      <c r="A275" s="31">
        <f>IF(B275="","","TSL-"&amp;TEXT(ROW()-2,"0000"))</f>
        <v/>
      </c>
      <c r="B275" s="23" t="n"/>
      <c r="C275" s="23" t="n"/>
      <c r="D275" s="23" t="n"/>
      <c r="E275" s="23" t="n"/>
      <c r="F275" s="23" t="n"/>
      <c r="G275" s="31">
        <f>IF(OR(E275="",F275=""),"",ABS(E275-F275))</f>
        <v/>
      </c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</row>
    <row r="276">
      <c r="A276" s="32">
        <f>IF(B276="","","TSL-"&amp;TEXT(ROW()-2,"0000"))</f>
        <v/>
      </c>
      <c r="B276" s="29" t="n"/>
      <c r="C276" s="29" t="n"/>
      <c r="D276" s="29" t="n"/>
      <c r="E276" s="29" t="n"/>
      <c r="F276" s="29" t="n"/>
      <c r="G276" s="32">
        <f>IF(OR(E276="",F276=""),"",ABS(E276-F276))</f>
        <v/>
      </c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29" t="n"/>
      <c r="R276" s="29" t="n"/>
      <c r="S276" s="29" t="n"/>
      <c r="T276" s="29" t="n"/>
    </row>
    <row r="277">
      <c r="A277" s="31">
        <f>IF(B277="","","TSL-"&amp;TEXT(ROW()-2,"0000"))</f>
        <v/>
      </c>
      <c r="B277" s="23" t="n"/>
      <c r="C277" s="23" t="n"/>
      <c r="D277" s="23" t="n"/>
      <c r="E277" s="23" t="n"/>
      <c r="F277" s="23" t="n"/>
      <c r="G277" s="31">
        <f>IF(OR(E277="",F277=""),"",ABS(E277-F277))</f>
        <v/>
      </c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</row>
    <row r="278">
      <c r="A278" s="32">
        <f>IF(B278="","","TSL-"&amp;TEXT(ROW()-2,"0000"))</f>
        <v/>
      </c>
      <c r="B278" s="29" t="n"/>
      <c r="C278" s="29" t="n"/>
      <c r="D278" s="29" t="n"/>
      <c r="E278" s="29" t="n"/>
      <c r="F278" s="29" t="n"/>
      <c r="G278" s="32">
        <f>IF(OR(E278="",F278=""),"",ABS(E278-F278))</f>
        <v/>
      </c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29" t="n"/>
      <c r="R278" s="29" t="n"/>
      <c r="S278" s="29" t="n"/>
      <c r="T278" s="29" t="n"/>
    </row>
    <row r="279">
      <c r="A279" s="31">
        <f>IF(B279="","","TSL-"&amp;TEXT(ROW()-2,"0000"))</f>
        <v/>
      </c>
      <c r="B279" s="23" t="n"/>
      <c r="C279" s="23" t="n"/>
      <c r="D279" s="23" t="n"/>
      <c r="E279" s="23" t="n"/>
      <c r="F279" s="23" t="n"/>
      <c r="G279" s="31">
        <f>IF(OR(E279="",F279=""),"",ABS(E279-F279))</f>
        <v/>
      </c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</row>
    <row r="280">
      <c r="A280" s="32">
        <f>IF(B280="","","TSL-"&amp;TEXT(ROW()-2,"0000"))</f>
        <v/>
      </c>
      <c r="B280" s="29" t="n"/>
      <c r="C280" s="29" t="n"/>
      <c r="D280" s="29" t="n"/>
      <c r="E280" s="29" t="n"/>
      <c r="F280" s="29" t="n"/>
      <c r="G280" s="32">
        <f>IF(OR(E280="",F280=""),"",ABS(E280-F280))</f>
        <v/>
      </c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29" t="n"/>
      <c r="R280" s="29" t="n"/>
      <c r="S280" s="29" t="n"/>
      <c r="T280" s="29" t="n"/>
    </row>
    <row r="281">
      <c r="A281" s="31">
        <f>IF(B281="","","TSL-"&amp;TEXT(ROW()-2,"0000"))</f>
        <v/>
      </c>
      <c r="B281" s="23" t="n"/>
      <c r="C281" s="23" t="n"/>
      <c r="D281" s="23" t="n"/>
      <c r="E281" s="23" t="n"/>
      <c r="F281" s="23" t="n"/>
      <c r="G281" s="31">
        <f>IF(OR(E281="",F281=""),"",ABS(E281-F281))</f>
        <v/>
      </c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</row>
    <row r="282">
      <c r="A282" s="32">
        <f>IF(B282="","","TSL-"&amp;TEXT(ROW()-2,"0000"))</f>
        <v/>
      </c>
      <c r="B282" s="29" t="n"/>
      <c r="C282" s="29" t="n"/>
      <c r="D282" s="29" t="n"/>
      <c r="E282" s="29" t="n"/>
      <c r="F282" s="29" t="n"/>
      <c r="G282" s="32">
        <f>IF(OR(E282="",F282=""),"",ABS(E282-F282))</f>
        <v/>
      </c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29" t="n"/>
      <c r="R282" s="29" t="n"/>
      <c r="S282" s="29" t="n"/>
      <c r="T282" s="29" t="n"/>
    </row>
    <row r="283">
      <c r="A283" s="31">
        <f>IF(B283="","","TSL-"&amp;TEXT(ROW()-2,"0000"))</f>
        <v/>
      </c>
      <c r="B283" s="23" t="n"/>
      <c r="C283" s="23" t="n"/>
      <c r="D283" s="23" t="n"/>
      <c r="E283" s="23" t="n"/>
      <c r="F283" s="23" t="n"/>
      <c r="G283" s="31">
        <f>IF(OR(E283="",F283=""),"",ABS(E283-F283))</f>
        <v/>
      </c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</row>
    <row r="284">
      <c r="A284" s="32">
        <f>IF(B284="","","TSL-"&amp;TEXT(ROW()-2,"0000"))</f>
        <v/>
      </c>
      <c r="B284" s="29" t="n"/>
      <c r="C284" s="29" t="n"/>
      <c r="D284" s="29" t="n"/>
      <c r="E284" s="29" t="n"/>
      <c r="F284" s="29" t="n"/>
      <c r="G284" s="32">
        <f>IF(OR(E284="",F284=""),"",ABS(E284-F284))</f>
        <v/>
      </c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29" t="n"/>
      <c r="R284" s="29" t="n"/>
      <c r="S284" s="29" t="n"/>
      <c r="T284" s="29" t="n"/>
    </row>
    <row r="285">
      <c r="A285" s="31">
        <f>IF(B285="","","TSL-"&amp;TEXT(ROW()-2,"0000"))</f>
        <v/>
      </c>
      <c r="B285" s="23" t="n"/>
      <c r="C285" s="23" t="n"/>
      <c r="D285" s="23" t="n"/>
      <c r="E285" s="23" t="n"/>
      <c r="F285" s="23" t="n"/>
      <c r="G285" s="31">
        <f>IF(OR(E285="",F285=""),"",ABS(E285-F285))</f>
        <v/>
      </c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</row>
    <row r="286">
      <c r="A286" s="32">
        <f>IF(B286="","","TSL-"&amp;TEXT(ROW()-2,"0000"))</f>
        <v/>
      </c>
      <c r="B286" s="29" t="n"/>
      <c r="C286" s="29" t="n"/>
      <c r="D286" s="29" t="n"/>
      <c r="E286" s="29" t="n"/>
      <c r="F286" s="29" t="n"/>
      <c r="G286" s="32">
        <f>IF(OR(E286="",F286=""),"",ABS(E286-F286))</f>
        <v/>
      </c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29" t="n"/>
      <c r="R286" s="29" t="n"/>
      <c r="S286" s="29" t="n"/>
      <c r="T286" s="29" t="n"/>
    </row>
    <row r="287">
      <c r="A287" s="31">
        <f>IF(B287="","","TSL-"&amp;TEXT(ROW()-2,"0000"))</f>
        <v/>
      </c>
      <c r="B287" s="23" t="n"/>
      <c r="C287" s="23" t="n"/>
      <c r="D287" s="23" t="n"/>
      <c r="E287" s="23" t="n"/>
      <c r="F287" s="23" t="n"/>
      <c r="G287" s="31">
        <f>IF(OR(E287="",F287=""),"",ABS(E287-F287))</f>
        <v/>
      </c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</row>
    <row r="288">
      <c r="A288" s="32">
        <f>IF(B288="","","TSL-"&amp;TEXT(ROW()-2,"0000"))</f>
        <v/>
      </c>
      <c r="B288" s="29" t="n"/>
      <c r="C288" s="29" t="n"/>
      <c r="D288" s="29" t="n"/>
      <c r="E288" s="29" t="n"/>
      <c r="F288" s="29" t="n"/>
      <c r="G288" s="32">
        <f>IF(OR(E288="",F288=""),"",ABS(E288-F288))</f>
        <v/>
      </c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29" t="n"/>
      <c r="R288" s="29" t="n"/>
      <c r="S288" s="29" t="n"/>
      <c r="T288" s="29" t="n"/>
    </row>
    <row r="289">
      <c r="A289" s="31">
        <f>IF(B289="","","TSL-"&amp;TEXT(ROW()-2,"0000"))</f>
        <v/>
      </c>
      <c r="B289" s="23" t="n"/>
      <c r="C289" s="23" t="n"/>
      <c r="D289" s="23" t="n"/>
      <c r="E289" s="23" t="n"/>
      <c r="F289" s="23" t="n"/>
      <c r="G289" s="31">
        <f>IF(OR(E289="",F289=""),"",ABS(E289-F289))</f>
        <v/>
      </c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</row>
    <row r="290">
      <c r="A290" s="32">
        <f>IF(B290="","","TSL-"&amp;TEXT(ROW()-2,"0000"))</f>
        <v/>
      </c>
      <c r="B290" s="29" t="n"/>
      <c r="C290" s="29" t="n"/>
      <c r="D290" s="29" t="n"/>
      <c r="E290" s="29" t="n"/>
      <c r="F290" s="29" t="n"/>
      <c r="G290" s="32">
        <f>IF(OR(E290="",F290=""),"",ABS(E290-F290))</f>
        <v/>
      </c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29" t="n"/>
      <c r="R290" s="29" t="n"/>
      <c r="S290" s="29" t="n"/>
      <c r="T290" s="29" t="n"/>
    </row>
    <row r="291">
      <c r="A291" s="31">
        <f>IF(B291="","","TSL-"&amp;TEXT(ROW()-2,"0000"))</f>
        <v/>
      </c>
      <c r="B291" s="23" t="n"/>
      <c r="C291" s="23" t="n"/>
      <c r="D291" s="23" t="n"/>
      <c r="E291" s="23" t="n"/>
      <c r="F291" s="23" t="n"/>
      <c r="G291" s="31">
        <f>IF(OR(E291="",F291=""),"",ABS(E291-F291))</f>
        <v/>
      </c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</row>
    <row r="292">
      <c r="A292" s="32">
        <f>IF(B292="","","TSL-"&amp;TEXT(ROW()-2,"0000"))</f>
        <v/>
      </c>
      <c r="B292" s="29" t="n"/>
      <c r="C292" s="29" t="n"/>
      <c r="D292" s="29" t="n"/>
      <c r="E292" s="29" t="n"/>
      <c r="F292" s="29" t="n"/>
      <c r="G292" s="32">
        <f>IF(OR(E292="",F292=""),"",ABS(E292-F292))</f>
        <v/>
      </c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29" t="n"/>
      <c r="R292" s="29" t="n"/>
      <c r="S292" s="29" t="n"/>
      <c r="T292" s="29" t="n"/>
    </row>
    <row r="293">
      <c r="A293" s="31">
        <f>IF(B293="","","TSL-"&amp;TEXT(ROW()-2,"0000"))</f>
        <v/>
      </c>
      <c r="B293" s="23" t="n"/>
      <c r="C293" s="23" t="n"/>
      <c r="D293" s="23" t="n"/>
      <c r="E293" s="23" t="n"/>
      <c r="F293" s="23" t="n"/>
      <c r="G293" s="31">
        <f>IF(OR(E293="",F293=""),"",ABS(E293-F293))</f>
        <v/>
      </c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</row>
    <row r="294">
      <c r="A294" s="32">
        <f>IF(B294="","","TSL-"&amp;TEXT(ROW()-2,"0000"))</f>
        <v/>
      </c>
      <c r="B294" s="29" t="n"/>
      <c r="C294" s="29" t="n"/>
      <c r="D294" s="29" t="n"/>
      <c r="E294" s="29" t="n"/>
      <c r="F294" s="29" t="n"/>
      <c r="G294" s="32">
        <f>IF(OR(E294="",F294=""),"",ABS(E294-F294))</f>
        <v/>
      </c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29" t="n"/>
      <c r="R294" s="29" t="n"/>
      <c r="S294" s="29" t="n"/>
      <c r="T294" s="29" t="n"/>
    </row>
    <row r="295">
      <c r="A295" s="31">
        <f>IF(B295="","","TSL-"&amp;TEXT(ROW()-2,"0000"))</f>
        <v/>
      </c>
      <c r="B295" s="23" t="n"/>
      <c r="C295" s="23" t="n"/>
      <c r="D295" s="23" t="n"/>
      <c r="E295" s="23" t="n"/>
      <c r="F295" s="23" t="n"/>
      <c r="G295" s="31">
        <f>IF(OR(E295="",F295=""),"",ABS(E295-F295))</f>
        <v/>
      </c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</row>
    <row r="296">
      <c r="A296" s="32">
        <f>IF(B296="","","TSL-"&amp;TEXT(ROW()-2,"0000"))</f>
        <v/>
      </c>
      <c r="B296" s="29" t="n"/>
      <c r="C296" s="29" t="n"/>
      <c r="D296" s="29" t="n"/>
      <c r="E296" s="29" t="n"/>
      <c r="F296" s="29" t="n"/>
      <c r="G296" s="32">
        <f>IF(OR(E296="",F296=""),"",ABS(E296-F296))</f>
        <v/>
      </c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29" t="n"/>
      <c r="R296" s="29" t="n"/>
      <c r="S296" s="29" t="n"/>
      <c r="T296" s="29" t="n"/>
    </row>
    <row r="297">
      <c r="A297" s="31">
        <f>IF(B297="","","TSL-"&amp;TEXT(ROW()-2,"0000"))</f>
        <v/>
      </c>
      <c r="B297" s="23" t="n"/>
      <c r="C297" s="23" t="n"/>
      <c r="D297" s="23" t="n"/>
      <c r="E297" s="23" t="n"/>
      <c r="F297" s="23" t="n"/>
      <c r="G297" s="31">
        <f>IF(OR(E297="",F297=""),"",ABS(E297-F297))</f>
        <v/>
      </c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</row>
    <row r="298">
      <c r="A298" s="32">
        <f>IF(B298="","","TSL-"&amp;TEXT(ROW()-2,"0000"))</f>
        <v/>
      </c>
      <c r="B298" s="29" t="n"/>
      <c r="C298" s="29" t="n"/>
      <c r="D298" s="29" t="n"/>
      <c r="E298" s="29" t="n"/>
      <c r="F298" s="29" t="n"/>
      <c r="G298" s="32">
        <f>IF(OR(E298="",F298=""),"",ABS(E298-F298))</f>
        <v/>
      </c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29" t="n"/>
      <c r="R298" s="29" t="n"/>
      <c r="S298" s="29" t="n"/>
      <c r="T298" s="29" t="n"/>
    </row>
    <row r="299">
      <c r="A299" s="31">
        <f>IF(B299="","","TSL-"&amp;TEXT(ROW()-2,"0000"))</f>
        <v/>
      </c>
      <c r="B299" s="23" t="n"/>
      <c r="C299" s="23" t="n"/>
      <c r="D299" s="23" t="n"/>
      <c r="E299" s="23" t="n"/>
      <c r="F299" s="23" t="n"/>
      <c r="G299" s="31">
        <f>IF(OR(E299="",F299=""),"",ABS(E299-F299))</f>
        <v/>
      </c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</row>
    <row r="300">
      <c r="A300" s="32">
        <f>IF(B300="","","TSL-"&amp;TEXT(ROW()-2,"0000"))</f>
        <v/>
      </c>
      <c r="B300" s="29" t="n"/>
      <c r="C300" s="29" t="n"/>
      <c r="D300" s="29" t="n"/>
      <c r="E300" s="29" t="n"/>
      <c r="F300" s="29" t="n"/>
      <c r="G300" s="32">
        <f>IF(OR(E300="",F300=""),"",ABS(E300-F300))</f>
        <v/>
      </c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29" t="n"/>
      <c r="R300" s="29" t="n"/>
      <c r="S300" s="29" t="n"/>
      <c r="T300" s="29" t="n"/>
    </row>
    <row r="301">
      <c r="A301" s="31">
        <f>IF(B301="","","TSL-"&amp;TEXT(ROW()-2,"0000"))</f>
        <v/>
      </c>
      <c r="B301" s="23" t="n"/>
      <c r="C301" s="23" t="n"/>
      <c r="D301" s="23" t="n"/>
      <c r="E301" s="23" t="n"/>
      <c r="F301" s="23" t="n"/>
      <c r="G301" s="31">
        <f>IF(OR(E301="",F301=""),"",ABS(E301-F301))</f>
        <v/>
      </c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</row>
    <row r="302">
      <c r="A302" s="32">
        <f>IF(B302="","","TSL-"&amp;TEXT(ROW()-2,"0000"))</f>
        <v/>
      </c>
      <c r="B302" s="29" t="n"/>
      <c r="C302" s="29" t="n"/>
      <c r="D302" s="29" t="n"/>
      <c r="E302" s="29" t="n"/>
      <c r="F302" s="29" t="n"/>
      <c r="G302" s="32">
        <f>IF(OR(E302="",F302=""),"",ABS(E302-F302))</f>
        <v/>
      </c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29" t="n"/>
      <c r="R302" s="29" t="n"/>
      <c r="S302" s="29" t="n"/>
      <c r="T302" s="29" t="n"/>
    </row>
  </sheetData>
  <autoFilter ref="A2:T302"/>
  <mergeCells count="1">
    <mergeCell ref="A1:J1"/>
  </mergeCells>
  <dataValidations count="2">
    <dataValidation sqref="D3:D302" showDropDown="0" showInputMessage="0" showErrorMessage="0" allowBlank="1" type="list">
      <formula1>"Long,Short"</formula1>
    </dataValidation>
    <dataValidation sqref="M3:O302" showDropDown="0" showInputMessage="0" showErrorMessage="0" allowBlank="1" type="list">
      <formula1>"Yes,No,Ambiguous"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</cols>
  <sheetData>
    <row r="1" ht="34" customHeight="1">
      <c r="A1" s="1" t="inlineStr">
        <is>
          <t>START HERE • PAPER JOURNAL GUIDE</t>
        </is>
      </c>
    </row>
    <row r="2" ht="32" customHeight="1">
      <c r="A2" s="12" t="inlineStr">
        <is>
          <t>Topic</t>
        </is>
      </c>
      <c r="B2" s="12" t="inlineStr">
        <is>
          <t>Instructions</t>
        </is>
      </c>
      <c r="C2" s="12" t="inlineStr"/>
      <c r="D2" s="12" t="inlineStr"/>
    </row>
    <row r="3" ht="35" customHeight="1">
      <c r="A3" s="33" t="inlineStr">
        <is>
          <t>Purpose</t>
        </is>
      </c>
      <c r="B3" s="11" t="inlineStr">
        <is>
          <t>A structured journal to validate setups and indicator behaviour in simulation. It does not send orders.</t>
        </is>
      </c>
    </row>
    <row r="4" ht="35" customHeight="1">
      <c r="A4" s="33" t="inlineStr">
        <is>
          <t>Step 1 — Settings</t>
        </is>
      </c>
      <c r="B4" s="11" t="inlineStr">
        <is>
          <t>Set virtual capital, risk per trade, daily loss limit, max entries/day, costs and slippage assumptions.</t>
        </is>
      </c>
    </row>
    <row r="5" ht="35" customHeight="1">
      <c r="A5" s="33" t="inlineStr">
        <is>
          <t>Step 2 — Trade plan</t>
        </is>
      </c>
      <c r="B5" s="11" t="inlineStr">
        <is>
          <t>Before entry, record setup, indicator values, direction, entry, initial SL, targets, TSL method and reason.</t>
        </is>
      </c>
    </row>
    <row r="6" ht="35" customHeight="1">
      <c r="A6" s="33" t="inlineStr">
        <is>
          <t>Step 3 — Size</t>
        </is>
      </c>
      <c r="B6" s="11" t="inlineStr">
        <is>
          <t>Use the risk budget and initial entry-to-SL distance to determine a quantity that fits the cap. Round down to valid lot size.</t>
        </is>
      </c>
    </row>
    <row r="7" ht="35" customHeight="1">
      <c r="A7" s="33" t="inlineStr">
        <is>
          <t>Step 4 — Manage</t>
        </is>
      </c>
      <c r="B7" s="11" t="inlineStr">
        <is>
          <t>Record target hits, partial exits, every TSL move and the actual exit type. Never loosen SL to increase planned risk.</t>
        </is>
      </c>
    </row>
    <row r="8" ht="35" customHeight="1">
      <c r="A8" s="33" t="inlineStr">
        <is>
          <t>Step 5 — Review</t>
        </is>
      </c>
      <c r="B8" s="11" t="inlineStr">
        <is>
          <t>Record net P&amp;L, R multiple, rule adherence, emotion, screenshot/reference and lesson.</t>
        </is>
      </c>
    </row>
    <row r="9" ht="35" customHeight="1">
      <c r="A9" s="33" t="inlineStr">
        <is>
          <t>TSL models</t>
        </is>
      </c>
      <c r="B9" s="11" t="inlineStr">
        <is>
          <t>Fixed SL; breakeven after configured R trigger; step trail; distance trail. Keep same sample when comparing methods.</t>
        </is>
      </c>
    </row>
    <row r="10" ht="35" customHeight="1">
      <c r="A10" s="33" t="inlineStr">
        <is>
          <t>Ambiguous candles</t>
        </is>
      </c>
      <c r="B10" s="11" t="inlineStr">
        <is>
          <t>If a candle touches both stop and target and intrabar sequence is unknown, mark Ambiguous; do not assume the better result.</t>
        </is>
      </c>
    </row>
    <row r="11" ht="35" customHeight="1">
      <c r="A11" s="33" t="inlineStr">
        <is>
          <t>Risk warning</t>
        </is>
      </c>
      <c r="B11" s="11" t="inlineStr">
        <is>
          <t>Default values are examples, not recommendations. Paper fills can differ from live execution due to spread, slippage, gaps and liquidity.</t>
        </is>
      </c>
    </row>
    <row r="12" ht="35" customHeight="1">
      <c r="A12" s="33" t="inlineStr">
        <is>
          <t>Workbook limits</t>
        </is>
      </c>
      <c r="B12" s="11" t="inlineStr">
        <is>
          <t>Dashboard uses formulas and updates in Excel. Some formulas may not recalculate in preview applications; open in Microsoft Excel or compatible software.</t>
        </is>
      </c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2026-10-14T15:00:55Z</dcterms:created>
  <dcterms:modified xmlns:dcterms="http://purl.org/dc/terms/" xmlns:xsi="http://www.w3.org/2001/XMLSchema-instance" xsi:type="dcterms:W3CDTF">2026-10-14T15:01:12Z</dcterms:modified>
</cp:coreProperties>
</file>